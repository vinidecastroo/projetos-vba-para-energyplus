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nid\Desktop\programas\programacao\vba\"/>
    </mc:Choice>
  </mc:AlternateContent>
  <xr:revisionPtr revIDLastSave="0" documentId="13_ncr:1_{469C76E1-8E67-45C4-815C-4539A785AF30}" xr6:coauthVersionLast="45" xr6:coauthVersionMax="45" xr10:uidLastSave="{00000000-0000-0000-0000-000000000000}"/>
  <bookViews>
    <workbookView minimized="1" xWindow="7128" yWindow="2244" windowWidth="12240" windowHeight="6336" xr2:uid="{00000000-000D-0000-FFFF-FFFF00000000}"/>
  </bookViews>
  <sheets>
    <sheet name="simula" sheetId="1" r:id="rId1"/>
    <sheet name="constructions" sheetId="6" r:id="rId2"/>
    <sheet name="cor telha" sheetId="5" r:id="rId3"/>
    <sheet name="orientacao" sheetId="2" r:id="rId4"/>
    <sheet name="criacao_do_modelo" sheetId="9" r:id="rId5"/>
    <sheet name="modelos simulados" sheetId="8" r:id="rId6"/>
    <sheet name="copia" sheetId="1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5" l="1"/>
  <c r="F13" i="1" l="1"/>
  <c r="F14" i="1" s="1"/>
  <c r="E13" i="1"/>
  <c r="E14" i="1" s="1"/>
  <c r="D13" i="1"/>
  <c r="D14" i="1" s="1"/>
  <c r="C13" i="1"/>
  <c r="C14" i="1" s="1"/>
  <c r="B13" i="1"/>
  <c r="B14" i="1" s="1"/>
  <c r="P12" i="1"/>
  <c r="K4" i="1"/>
  <c r="K5" i="1" s="1"/>
  <c r="K6" i="1" s="1"/>
  <c r="D1201" i="6"/>
  <c r="C2330" i="9" s="1"/>
  <c r="D1200" i="6"/>
  <c r="C2329" i="9" s="1"/>
  <c r="D1199" i="6"/>
  <c r="C2328" i="9" s="1"/>
  <c r="D1198" i="6"/>
  <c r="C2327" i="9" s="1"/>
  <c r="D1197" i="6"/>
  <c r="C2326" i="9" s="1"/>
  <c r="D1196" i="6"/>
  <c r="C2325" i="9" s="1"/>
  <c r="D1195" i="6"/>
  <c r="C2324" i="9" s="1"/>
  <c r="D1194" i="6"/>
  <c r="C2323" i="9" s="1"/>
  <c r="D1193" i="6"/>
  <c r="C2322" i="9" s="1"/>
  <c r="D1192" i="6"/>
  <c r="C2321" i="9" s="1"/>
  <c r="D1191" i="6"/>
  <c r="C2320" i="9" s="1"/>
  <c r="D1190" i="6"/>
  <c r="C2319" i="9" s="1"/>
  <c r="D1189" i="6"/>
  <c r="C2318" i="9" s="1"/>
  <c r="D1188" i="6"/>
  <c r="C2317" i="9" s="1"/>
  <c r="D1187" i="6"/>
  <c r="C2316" i="9" s="1"/>
  <c r="D1186" i="6"/>
  <c r="C2315" i="9" s="1"/>
  <c r="D1185" i="6"/>
  <c r="C2314" i="9" s="1"/>
  <c r="D1184" i="6"/>
  <c r="C2313" i="9" s="1"/>
  <c r="D1183" i="6"/>
  <c r="C2312" i="9" s="1"/>
  <c r="D1181" i="6"/>
  <c r="C2310" i="9" s="1"/>
  <c r="D1180" i="6"/>
  <c r="C2309" i="9" s="1"/>
  <c r="D1179" i="6"/>
  <c r="C2308" i="9" s="1"/>
  <c r="D1178" i="6"/>
  <c r="C2307" i="9" s="1"/>
  <c r="D1177" i="6"/>
  <c r="C2306" i="9" s="1"/>
  <c r="D1176" i="6"/>
  <c r="C2305" i="9" s="1"/>
  <c r="D1175" i="6"/>
  <c r="C2304" i="9" s="1"/>
  <c r="D1174" i="6"/>
  <c r="C2303" i="9" s="1"/>
  <c r="D1173" i="6"/>
  <c r="C2302" i="9" s="1"/>
  <c r="D1172" i="6"/>
  <c r="C2301" i="9" s="1"/>
  <c r="D1171" i="6"/>
  <c r="C2300" i="9" s="1"/>
  <c r="D1170" i="6"/>
  <c r="C2299" i="9" s="1"/>
  <c r="D1169" i="6"/>
  <c r="C2298" i="9" s="1"/>
  <c r="D1168" i="6"/>
  <c r="C2297" i="9" s="1"/>
  <c r="D1167" i="6"/>
  <c r="C2296" i="9" s="1"/>
  <c r="D1166" i="6"/>
  <c r="C2295" i="9" s="1"/>
  <c r="D1165" i="6"/>
  <c r="C2294" i="9" s="1"/>
  <c r="D1164" i="6"/>
  <c r="C2293" i="9" s="1"/>
  <c r="D1163" i="6"/>
  <c r="C2292" i="9" s="1"/>
  <c r="D1162" i="6"/>
  <c r="C2291" i="9" s="1"/>
  <c r="D1161" i="6"/>
  <c r="C2290" i="9" s="1"/>
  <c r="D1160" i="6"/>
  <c r="C2289" i="9" s="1"/>
  <c r="D1159" i="6"/>
  <c r="C2288" i="9" s="1"/>
  <c r="D1157" i="6"/>
  <c r="C2286" i="9" s="1"/>
  <c r="D1156" i="6"/>
  <c r="C2285" i="9" s="1"/>
  <c r="D1155" i="6"/>
  <c r="C2284" i="9" s="1"/>
  <c r="D1154" i="6"/>
  <c r="C2283" i="9" s="1"/>
  <c r="D1153" i="6"/>
  <c r="C2282" i="9" s="1"/>
  <c r="D1152" i="6"/>
  <c r="C2281" i="9" s="1"/>
  <c r="D1151" i="6"/>
  <c r="C2280" i="9" s="1"/>
  <c r="D1150" i="6"/>
  <c r="C2279" i="9" s="1"/>
  <c r="D1149" i="6"/>
  <c r="C2278" i="9" s="1"/>
  <c r="D1148" i="6"/>
  <c r="C2277" i="9" s="1"/>
  <c r="D1147" i="6"/>
  <c r="C2276" i="9" s="1"/>
  <c r="D1146" i="6"/>
  <c r="C2275" i="9" s="1"/>
  <c r="D1145" i="6"/>
  <c r="C2274" i="9" s="1"/>
  <c r="D1144" i="6"/>
  <c r="C2273" i="9" s="1"/>
  <c r="D1143" i="6"/>
  <c r="C2272" i="9" s="1"/>
  <c r="D1142" i="6"/>
  <c r="C2271" i="9" s="1"/>
  <c r="D1141" i="6"/>
  <c r="C2270" i="9" s="1"/>
  <c r="D1140" i="6"/>
  <c r="C2269" i="9" s="1"/>
  <c r="D1139" i="6"/>
  <c r="C2268" i="9" s="1"/>
  <c r="D1138" i="6"/>
  <c r="C2267" i="9" s="1"/>
  <c r="D1137" i="6"/>
  <c r="C2266" i="9" s="1"/>
  <c r="D1136" i="6"/>
  <c r="C2265" i="9" s="1"/>
  <c r="D1135" i="6"/>
  <c r="C2264" i="9" s="1"/>
  <c r="D1133" i="6"/>
  <c r="C2262" i="9" s="1"/>
  <c r="D1132" i="6"/>
  <c r="C2261" i="9" s="1"/>
  <c r="D1131" i="6"/>
  <c r="C2260" i="9" s="1"/>
  <c r="D1130" i="6"/>
  <c r="C2259" i="9" s="1"/>
  <c r="D1129" i="6"/>
  <c r="C2258" i="9" s="1"/>
  <c r="D1128" i="6"/>
  <c r="C2257" i="9" s="1"/>
  <c r="D1127" i="6"/>
  <c r="C2256" i="9" s="1"/>
  <c r="D1126" i="6"/>
  <c r="C2255" i="9" s="1"/>
  <c r="D1125" i="6"/>
  <c r="C2254" i="9" s="1"/>
  <c r="D1124" i="6"/>
  <c r="C2253" i="9" s="1"/>
  <c r="D1123" i="6"/>
  <c r="C2252" i="9" s="1"/>
  <c r="D1122" i="6"/>
  <c r="C2251" i="9" s="1"/>
  <c r="D1121" i="6"/>
  <c r="C2250" i="9" s="1"/>
  <c r="D1120" i="6"/>
  <c r="C2249" i="9" s="1"/>
  <c r="D1119" i="6"/>
  <c r="C2248" i="9" s="1"/>
  <c r="D1118" i="6"/>
  <c r="C2247" i="9" s="1"/>
  <c r="D1117" i="6"/>
  <c r="C2246" i="9" s="1"/>
  <c r="D1116" i="6"/>
  <c r="C2245" i="9" s="1"/>
  <c r="D1115" i="6"/>
  <c r="C2244" i="9" s="1"/>
  <c r="D1114" i="6"/>
  <c r="C2243" i="9" s="1"/>
  <c r="D1113" i="6"/>
  <c r="C2242" i="9" s="1"/>
  <c r="D1112" i="6"/>
  <c r="C2241" i="9" s="1"/>
  <c r="D1111" i="6"/>
  <c r="C2240" i="9" s="1"/>
  <c r="D1109" i="6"/>
  <c r="C2238" i="9" s="1"/>
  <c r="D1108" i="6"/>
  <c r="C2237" i="9" s="1"/>
  <c r="D1107" i="6"/>
  <c r="C2236" i="9" s="1"/>
  <c r="D1106" i="6"/>
  <c r="C2235" i="9" s="1"/>
  <c r="D1105" i="6"/>
  <c r="C2234" i="9" s="1"/>
  <c r="D1104" i="6"/>
  <c r="C2233" i="9" s="1"/>
  <c r="D1103" i="6"/>
  <c r="C2232" i="9" s="1"/>
  <c r="D1102" i="6"/>
  <c r="C2231" i="9" s="1"/>
  <c r="D1101" i="6"/>
  <c r="C2230" i="9" s="1"/>
  <c r="D1100" i="6"/>
  <c r="C2229" i="9" s="1"/>
  <c r="D1099" i="6"/>
  <c r="C2228" i="9" s="1"/>
  <c r="D1098" i="6"/>
  <c r="C2227" i="9" s="1"/>
  <c r="D1097" i="6"/>
  <c r="C2226" i="9" s="1"/>
  <c r="D1096" i="6"/>
  <c r="C2225" i="9" s="1"/>
  <c r="D1095" i="6"/>
  <c r="C2224" i="9" s="1"/>
  <c r="D1094" i="6"/>
  <c r="C2223" i="9" s="1"/>
  <c r="D1093" i="6"/>
  <c r="C2222" i="9" s="1"/>
  <c r="D1092" i="6"/>
  <c r="C2221" i="9" s="1"/>
  <c r="D1091" i="6"/>
  <c r="C2220" i="9" s="1"/>
  <c r="D1090" i="6"/>
  <c r="C2219" i="9" s="1"/>
  <c r="D1089" i="6"/>
  <c r="C2218" i="9" s="1"/>
  <c r="D1088" i="6"/>
  <c r="C2217" i="9" s="1"/>
  <c r="D1087" i="6"/>
  <c r="C2216" i="9" s="1"/>
  <c r="D1085" i="6"/>
  <c r="C2214" i="9" s="1"/>
  <c r="D1084" i="6"/>
  <c r="C2213" i="9" s="1"/>
  <c r="D1083" i="6"/>
  <c r="C2212" i="9" s="1"/>
  <c r="D1082" i="6"/>
  <c r="C2211" i="9" s="1"/>
  <c r="D1081" i="6"/>
  <c r="C2210" i="9" s="1"/>
  <c r="D1080" i="6"/>
  <c r="C2209" i="9" s="1"/>
  <c r="D1079" i="6"/>
  <c r="C2208" i="9" s="1"/>
  <c r="D1078" i="6"/>
  <c r="C2207" i="9" s="1"/>
  <c r="D1077" i="6"/>
  <c r="C2206" i="9" s="1"/>
  <c r="D1076" i="6"/>
  <c r="C2205" i="9" s="1"/>
  <c r="D1075" i="6"/>
  <c r="C2204" i="9" s="1"/>
  <c r="D1074" i="6"/>
  <c r="C2203" i="9" s="1"/>
  <c r="D1073" i="6"/>
  <c r="C2202" i="9" s="1"/>
  <c r="D1072" i="6"/>
  <c r="C2201" i="9" s="1"/>
  <c r="D1071" i="6"/>
  <c r="C2200" i="9" s="1"/>
  <c r="D1070" i="6"/>
  <c r="C2199" i="9" s="1"/>
  <c r="D1069" i="6"/>
  <c r="C2198" i="9" s="1"/>
  <c r="D1068" i="6"/>
  <c r="C2197" i="9" s="1"/>
  <c r="D1067" i="6"/>
  <c r="C2196" i="9" s="1"/>
  <c r="D1066" i="6"/>
  <c r="C2195" i="9" s="1"/>
  <c r="D1065" i="6"/>
  <c r="C2194" i="9" s="1"/>
  <c r="D1064" i="6"/>
  <c r="C2193" i="9" s="1"/>
  <c r="D1063" i="6"/>
  <c r="C2192" i="9" s="1"/>
  <c r="D1061" i="6"/>
  <c r="C2190" i="9" s="1"/>
  <c r="D1060" i="6"/>
  <c r="C2189" i="9" s="1"/>
  <c r="D1059" i="6"/>
  <c r="C2188" i="9" s="1"/>
  <c r="D1058" i="6"/>
  <c r="C2187" i="9" s="1"/>
  <c r="D1057" i="6"/>
  <c r="C2186" i="9" s="1"/>
  <c r="D1056" i="6"/>
  <c r="C2185" i="9" s="1"/>
  <c r="D1055" i="6"/>
  <c r="C2184" i="9" s="1"/>
  <c r="D1054" i="6"/>
  <c r="C2183" i="9" s="1"/>
  <c r="D1053" i="6"/>
  <c r="C2182" i="9" s="1"/>
  <c r="D1052" i="6"/>
  <c r="C2181" i="9" s="1"/>
  <c r="D1051" i="6"/>
  <c r="C2180" i="9" s="1"/>
  <c r="D1050" i="6"/>
  <c r="C2179" i="9" s="1"/>
  <c r="D1049" i="6"/>
  <c r="C2178" i="9" s="1"/>
  <c r="D1048" i="6"/>
  <c r="C2177" i="9" s="1"/>
  <c r="D1047" i="6"/>
  <c r="C2176" i="9" s="1"/>
  <c r="D1046" i="6"/>
  <c r="C2175" i="9" s="1"/>
  <c r="D1045" i="6"/>
  <c r="C2174" i="9" s="1"/>
  <c r="D1044" i="6"/>
  <c r="C2173" i="9" s="1"/>
  <c r="D1043" i="6"/>
  <c r="C2172" i="9" s="1"/>
  <c r="D1042" i="6"/>
  <c r="C2171" i="9" s="1"/>
  <c r="D1041" i="6"/>
  <c r="C2170" i="9" s="1"/>
  <c r="D1040" i="6"/>
  <c r="C2169" i="9" s="1"/>
  <c r="D1039" i="6"/>
  <c r="C2168" i="9" s="1"/>
  <c r="D1037" i="6"/>
  <c r="C2166" i="9" s="1"/>
  <c r="D1036" i="6"/>
  <c r="C2165" i="9" s="1"/>
  <c r="D1035" i="6"/>
  <c r="C2164" i="9" s="1"/>
  <c r="D1034" i="6"/>
  <c r="C2163" i="9" s="1"/>
  <c r="D1033" i="6"/>
  <c r="C2162" i="9" s="1"/>
  <c r="D1032" i="6"/>
  <c r="C2161" i="9" s="1"/>
  <c r="D1031" i="6"/>
  <c r="C2160" i="9" s="1"/>
  <c r="D1030" i="6"/>
  <c r="C2159" i="9" s="1"/>
  <c r="D1029" i="6"/>
  <c r="C2158" i="9" s="1"/>
  <c r="D1028" i="6"/>
  <c r="C2157" i="9" s="1"/>
  <c r="D1027" i="6"/>
  <c r="C2156" i="9" s="1"/>
  <c r="D1026" i="6"/>
  <c r="C2155" i="9" s="1"/>
  <c r="D1025" i="6"/>
  <c r="C2154" i="9" s="1"/>
  <c r="D1024" i="6"/>
  <c r="C2153" i="9" s="1"/>
  <c r="D1023" i="6"/>
  <c r="C2152" i="9" s="1"/>
  <c r="D1022" i="6"/>
  <c r="C2151" i="9" s="1"/>
  <c r="D1021" i="6"/>
  <c r="C2150" i="9" s="1"/>
  <c r="D1020" i="6"/>
  <c r="C2149" i="9" s="1"/>
  <c r="D1019" i="6"/>
  <c r="C2148" i="9" s="1"/>
  <c r="D1018" i="6"/>
  <c r="C2147" i="9" s="1"/>
  <c r="D1017" i="6"/>
  <c r="C2146" i="9" s="1"/>
  <c r="D1016" i="6"/>
  <c r="C2145" i="9" s="1"/>
  <c r="D1015" i="6"/>
  <c r="C2144" i="9" s="1"/>
  <c r="D1013" i="6"/>
  <c r="C2142" i="9" s="1"/>
  <c r="D1012" i="6"/>
  <c r="C2141" i="9" s="1"/>
  <c r="D1011" i="6"/>
  <c r="C2140" i="9" s="1"/>
  <c r="D1010" i="6"/>
  <c r="C2139" i="9" s="1"/>
  <c r="D1009" i="6"/>
  <c r="C2138" i="9" s="1"/>
  <c r="D1008" i="6"/>
  <c r="C2137" i="9" s="1"/>
  <c r="D1007" i="6"/>
  <c r="C2136" i="9" s="1"/>
  <c r="D1006" i="6"/>
  <c r="C2135" i="9" s="1"/>
  <c r="D1005" i="6"/>
  <c r="C2134" i="9" s="1"/>
  <c r="D1004" i="6"/>
  <c r="C2133" i="9" s="1"/>
  <c r="D1003" i="6"/>
  <c r="C2132" i="9" s="1"/>
  <c r="D1002" i="6"/>
  <c r="C2131" i="9" s="1"/>
  <c r="D1001" i="6"/>
  <c r="C2130" i="9" s="1"/>
  <c r="D1000" i="6"/>
  <c r="C2129" i="9" s="1"/>
  <c r="D999" i="6"/>
  <c r="C2128" i="9" s="1"/>
  <c r="D998" i="6"/>
  <c r="C2127" i="9" s="1"/>
  <c r="D997" i="6"/>
  <c r="C2126" i="9" s="1"/>
  <c r="D996" i="6"/>
  <c r="C2125" i="9" s="1"/>
  <c r="D995" i="6"/>
  <c r="C2124" i="9" s="1"/>
  <c r="D994" i="6"/>
  <c r="C2123" i="9" s="1"/>
  <c r="D992" i="6"/>
  <c r="C2121" i="9" s="1"/>
  <c r="D991" i="6"/>
  <c r="C2120" i="9" s="1"/>
  <c r="D990" i="6"/>
  <c r="C2119" i="9" s="1"/>
  <c r="D989" i="6"/>
  <c r="C2118" i="9" s="1"/>
  <c r="D988" i="6"/>
  <c r="C2117" i="9" s="1"/>
  <c r="D987" i="6"/>
  <c r="C2116" i="9" s="1"/>
  <c r="D986" i="6"/>
  <c r="C2115" i="9" s="1"/>
  <c r="D985" i="6"/>
  <c r="C2114" i="9" s="1"/>
  <c r="D984" i="6"/>
  <c r="C2113" i="9" s="1"/>
  <c r="D983" i="6"/>
  <c r="C2112" i="9" s="1"/>
  <c r="D982" i="6"/>
  <c r="C2111" i="9" s="1"/>
  <c r="D981" i="6"/>
  <c r="C2110" i="9" s="1"/>
  <c r="D980" i="6"/>
  <c r="C2109" i="9" s="1"/>
  <c r="D979" i="6"/>
  <c r="C2108" i="9" s="1"/>
  <c r="D978" i="6"/>
  <c r="C2107" i="9" s="1"/>
  <c r="D977" i="6"/>
  <c r="C2106" i="9" s="1"/>
  <c r="D976" i="6"/>
  <c r="C2105" i="9" s="1"/>
  <c r="D975" i="6"/>
  <c r="C2104" i="9" s="1"/>
  <c r="D974" i="6"/>
  <c r="C2103" i="9" s="1"/>
  <c r="D973" i="6"/>
  <c r="C2102" i="9" s="1"/>
  <c r="D972" i="6"/>
  <c r="C2101" i="9" s="1"/>
  <c r="D971" i="6"/>
  <c r="C2100" i="9" s="1"/>
  <c r="D970" i="6"/>
  <c r="C2099" i="9" s="1"/>
  <c r="D968" i="6"/>
  <c r="C2097" i="9" s="1"/>
  <c r="D967" i="6"/>
  <c r="C2096" i="9" s="1"/>
  <c r="D966" i="6"/>
  <c r="C2095" i="9" s="1"/>
  <c r="D965" i="6"/>
  <c r="C2094" i="9" s="1"/>
  <c r="D964" i="6"/>
  <c r="C2093" i="9" s="1"/>
  <c r="D963" i="6"/>
  <c r="C2092" i="9" s="1"/>
  <c r="D962" i="6"/>
  <c r="C2091" i="9" s="1"/>
  <c r="D961" i="6"/>
  <c r="C2090" i="9" s="1"/>
  <c r="D960" i="6"/>
  <c r="C2089" i="9" s="1"/>
  <c r="D959" i="6"/>
  <c r="C2088" i="9" s="1"/>
  <c r="D958" i="6"/>
  <c r="C2087" i="9" s="1"/>
  <c r="D957" i="6"/>
  <c r="C2086" i="9" s="1"/>
  <c r="D956" i="6"/>
  <c r="C2085" i="9" s="1"/>
  <c r="D955" i="6"/>
  <c r="C2084" i="9" s="1"/>
  <c r="D954" i="6"/>
  <c r="C2083" i="9" s="1"/>
  <c r="D953" i="6"/>
  <c r="C2082" i="9" s="1"/>
  <c r="D952" i="6"/>
  <c r="C2081" i="9" s="1"/>
  <c r="D951" i="6"/>
  <c r="C2080" i="9" s="1"/>
  <c r="D950" i="6"/>
  <c r="C2079" i="9" s="1"/>
  <c r="D949" i="6"/>
  <c r="C2078" i="9" s="1"/>
  <c r="D947" i="6"/>
  <c r="C2076" i="9" s="1"/>
  <c r="D946" i="6"/>
  <c r="C2075" i="9" s="1"/>
  <c r="D945" i="6"/>
  <c r="C2074" i="9" s="1"/>
  <c r="D944" i="6"/>
  <c r="C2073" i="9" s="1"/>
  <c r="D943" i="6"/>
  <c r="C2072" i="9" s="1"/>
  <c r="D942" i="6"/>
  <c r="C2071" i="9" s="1"/>
  <c r="D941" i="6"/>
  <c r="C2070" i="9" s="1"/>
  <c r="D940" i="6"/>
  <c r="C2069" i="9" s="1"/>
  <c r="D939" i="6"/>
  <c r="C2068" i="9" s="1"/>
  <c r="D938" i="6"/>
  <c r="C2067" i="9" s="1"/>
  <c r="D937" i="6"/>
  <c r="C2066" i="9" s="1"/>
  <c r="D936" i="6"/>
  <c r="C2065" i="9" s="1"/>
  <c r="D935" i="6"/>
  <c r="C2064" i="9" s="1"/>
  <c r="D934" i="6"/>
  <c r="C2063" i="9" s="1"/>
  <c r="D933" i="6"/>
  <c r="C2062" i="9" s="1"/>
  <c r="D932" i="6"/>
  <c r="C2061" i="9" s="1"/>
  <c r="D931" i="6"/>
  <c r="C2060" i="9" s="1"/>
  <c r="D930" i="6"/>
  <c r="C2059" i="9" s="1"/>
  <c r="D929" i="6"/>
  <c r="C2058" i="9" s="1"/>
  <c r="D928" i="6"/>
  <c r="C2057" i="9" s="1"/>
  <c r="D927" i="6"/>
  <c r="C2056" i="9" s="1"/>
  <c r="D926" i="6"/>
  <c r="C2055" i="9" s="1"/>
  <c r="D925" i="6"/>
  <c r="C2054" i="9" s="1"/>
  <c r="D923" i="6"/>
  <c r="C2052" i="9" s="1"/>
  <c r="D922" i="6"/>
  <c r="C2051" i="9" s="1"/>
  <c r="D921" i="6"/>
  <c r="C2050" i="9" s="1"/>
  <c r="D920" i="6"/>
  <c r="C2049" i="9" s="1"/>
  <c r="D919" i="6"/>
  <c r="C2048" i="9" s="1"/>
  <c r="D918" i="6"/>
  <c r="C2047" i="9" s="1"/>
  <c r="D917" i="6"/>
  <c r="C2046" i="9" s="1"/>
  <c r="D916" i="6"/>
  <c r="C2045" i="9" s="1"/>
  <c r="D915" i="6"/>
  <c r="C2044" i="9" s="1"/>
  <c r="D914" i="6"/>
  <c r="C2043" i="9" s="1"/>
  <c r="D913" i="6"/>
  <c r="C2042" i="9" s="1"/>
  <c r="D912" i="6"/>
  <c r="C2041" i="9" s="1"/>
  <c r="D911" i="6"/>
  <c r="C2040" i="9" s="1"/>
  <c r="D910" i="6"/>
  <c r="C2039" i="9" s="1"/>
  <c r="D909" i="6"/>
  <c r="C2038" i="9" s="1"/>
  <c r="D908" i="6"/>
  <c r="C2037" i="9" s="1"/>
  <c r="D907" i="6"/>
  <c r="C2036" i="9" s="1"/>
  <c r="D906" i="6"/>
  <c r="C2035" i="9" s="1"/>
  <c r="D905" i="6"/>
  <c r="C2034" i="9" s="1"/>
  <c r="D904" i="6"/>
  <c r="C2033" i="9" s="1"/>
  <c r="D903" i="6"/>
  <c r="C2032" i="9" s="1"/>
  <c r="D902" i="6"/>
  <c r="C2031" i="9" s="1"/>
  <c r="D901" i="6"/>
  <c r="C2030" i="9" s="1"/>
  <c r="D899" i="6"/>
  <c r="C2028" i="9" s="1"/>
  <c r="D898" i="6"/>
  <c r="C2027" i="9" s="1"/>
  <c r="D897" i="6"/>
  <c r="C2026" i="9" s="1"/>
  <c r="D896" i="6"/>
  <c r="C2025" i="9" s="1"/>
  <c r="D895" i="6"/>
  <c r="C2024" i="9" s="1"/>
  <c r="D894" i="6"/>
  <c r="C2023" i="9" s="1"/>
  <c r="D893" i="6"/>
  <c r="C2022" i="9" s="1"/>
  <c r="D892" i="6"/>
  <c r="C2021" i="9" s="1"/>
  <c r="D891" i="6"/>
  <c r="C2020" i="9" s="1"/>
  <c r="D890" i="6"/>
  <c r="C2019" i="9" s="1"/>
  <c r="D889" i="6"/>
  <c r="C2018" i="9" s="1"/>
  <c r="D888" i="6"/>
  <c r="C2017" i="9" s="1"/>
  <c r="D887" i="6"/>
  <c r="C2016" i="9" s="1"/>
  <c r="D886" i="6"/>
  <c r="C2015" i="9" s="1"/>
  <c r="D885" i="6"/>
  <c r="C2014" i="9" s="1"/>
  <c r="D884" i="6"/>
  <c r="C2013" i="9" s="1"/>
  <c r="D883" i="6"/>
  <c r="C2012" i="9" s="1"/>
  <c r="D882" i="6"/>
  <c r="C2011" i="9" s="1"/>
  <c r="D881" i="6"/>
  <c r="C2010" i="9" s="1"/>
  <c r="D880" i="6"/>
  <c r="C2009" i="9" s="1"/>
  <c r="D879" i="6"/>
  <c r="C2008" i="9" s="1"/>
  <c r="D878" i="6"/>
  <c r="C2007" i="9" s="1"/>
  <c r="D877" i="6"/>
  <c r="C2006" i="9" s="1"/>
  <c r="D875" i="6"/>
  <c r="C2004" i="9" s="1"/>
  <c r="D874" i="6"/>
  <c r="C2003" i="9" s="1"/>
  <c r="D873" i="6"/>
  <c r="C2002" i="9" s="1"/>
  <c r="D872" i="6"/>
  <c r="C2001" i="9" s="1"/>
  <c r="D871" i="6"/>
  <c r="C2000" i="9" s="1"/>
  <c r="D870" i="6"/>
  <c r="C1999" i="9" s="1"/>
  <c r="D869" i="6"/>
  <c r="C1998" i="9" s="1"/>
  <c r="D868" i="6"/>
  <c r="C1997" i="9" s="1"/>
  <c r="D867" i="6"/>
  <c r="C1996" i="9" s="1"/>
  <c r="D866" i="6"/>
  <c r="C1995" i="9" s="1"/>
  <c r="D865" i="6"/>
  <c r="C1994" i="9" s="1"/>
  <c r="D864" i="6"/>
  <c r="C1993" i="9" s="1"/>
  <c r="D863" i="6"/>
  <c r="C1992" i="9" s="1"/>
  <c r="D862" i="6"/>
  <c r="C1991" i="9" s="1"/>
  <c r="D861" i="6"/>
  <c r="C1990" i="9" s="1"/>
  <c r="D860" i="6"/>
  <c r="C1989" i="9" s="1"/>
  <c r="D859" i="6"/>
  <c r="C1988" i="9" s="1"/>
  <c r="D858" i="6"/>
  <c r="C1987" i="9" s="1"/>
  <c r="D857" i="6"/>
  <c r="C1986" i="9" s="1"/>
  <c r="D856" i="6"/>
  <c r="C1985" i="9" s="1"/>
  <c r="D855" i="6"/>
  <c r="C1984" i="9" s="1"/>
  <c r="D854" i="6"/>
  <c r="C1983" i="9" s="1"/>
  <c r="D853" i="6"/>
  <c r="C1982" i="9" s="1"/>
  <c r="D851" i="6"/>
  <c r="C1980" i="9" s="1"/>
  <c r="D850" i="6"/>
  <c r="C1979" i="9" s="1"/>
  <c r="D849" i="6"/>
  <c r="C1978" i="9" s="1"/>
  <c r="D848" i="6"/>
  <c r="C1977" i="9" s="1"/>
  <c r="D847" i="6"/>
  <c r="C1976" i="9" s="1"/>
  <c r="D846" i="6"/>
  <c r="C1975" i="9" s="1"/>
  <c r="D845" i="6"/>
  <c r="C1974" i="9" s="1"/>
  <c r="D844" i="6"/>
  <c r="C1973" i="9" s="1"/>
  <c r="D843" i="6"/>
  <c r="C1972" i="9" s="1"/>
  <c r="D842" i="6"/>
  <c r="C1971" i="9" s="1"/>
  <c r="D841" i="6"/>
  <c r="C1970" i="9" s="1"/>
  <c r="D840" i="6"/>
  <c r="C1969" i="9" s="1"/>
  <c r="D839" i="6"/>
  <c r="C1968" i="9" s="1"/>
  <c r="D838" i="6"/>
  <c r="C1967" i="9" s="1"/>
  <c r="D837" i="6"/>
  <c r="C1966" i="9" s="1"/>
  <c r="D836" i="6"/>
  <c r="C1965" i="9" s="1"/>
  <c r="D835" i="6"/>
  <c r="C1964" i="9" s="1"/>
  <c r="D834" i="6"/>
  <c r="C1963" i="9" s="1"/>
  <c r="D833" i="6"/>
  <c r="C1962" i="9" s="1"/>
  <c r="D832" i="6"/>
  <c r="C1961" i="9" s="1"/>
  <c r="D830" i="6"/>
  <c r="C1959" i="9" s="1"/>
  <c r="D829" i="6"/>
  <c r="C1958" i="9" s="1"/>
  <c r="D828" i="6"/>
  <c r="C1957" i="9" s="1"/>
  <c r="D827" i="6"/>
  <c r="C1956" i="9" s="1"/>
  <c r="D826" i="6"/>
  <c r="C1955" i="9" s="1"/>
  <c r="D825" i="6"/>
  <c r="C1954" i="9" s="1"/>
  <c r="D824" i="6"/>
  <c r="C1953" i="9" s="1"/>
  <c r="D823" i="6"/>
  <c r="C1952" i="9" s="1"/>
  <c r="D822" i="6"/>
  <c r="C1951" i="9" s="1"/>
  <c r="D821" i="6"/>
  <c r="C1950" i="9" s="1"/>
  <c r="D820" i="6"/>
  <c r="C1949" i="9" s="1"/>
  <c r="D819" i="6"/>
  <c r="C1948" i="9" s="1"/>
  <c r="D818" i="6"/>
  <c r="C1947" i="9" s="1"/>
  <c r="D817" i="6"/>
  <c r="C1946" i="9" s="1"/>
  <c r="D816" i="6"/>
  <c r="C1945" i="9" s="1"/>
  <c r="D815" i="6"/>
  <c r="C1944" i="9" s="1"/>
  <c r="D814" i="6"/>
  <c r="C1943" i="9" s="1"/>
  <c r="D813" i="6"/>
  <c r="C1942" i="9" s="1"/>
  <c r="D812" i="6"/>
  <c r="C1941" i="9" s="1"/>
  <c r="D811" i="6"/>
  <c r="C1940" i="9" s="1"/>
  <c r="D809" i="6"/>
  <c r="C1938" i="9" s="1"/>
  <c r="D808" i="6"/>
  <c r="C1937" i="9" s="1"/>
  <c r="D807" i="6"/>
  <c r="C1936" i="9" s="1"/>
  <c r="D806" i="6"/>
  <c r="C1935" i="9" s="1"/>
  <c r="D805" i="6"/>
  <c r="C1934" i="9" s="1"/>
  <c r="D804" i="6"/>
  <c r="C1933" i="9" s="1"/>
  <c r="D803" i="6"/>
  <c r="C1932" i="9" s="1"/>
  <c r="D802" i="6"/>
  <c r="C1931" i="9" s="1"/>
  <c r="D801" i="6"/>
  <c r="C1930" i="9" s="1"/>
  <c r="D800" i="6"/>
  <c r="C1929" i="9" s="1"/>
  <c r="D799" i="6"/>
  <c r="C1928" i="9" s="1"/>
  <c r="D798" i="6"/>
  <c r="C1927" i="9" s="1"/>
  <c r="D797" i="6"/>
  <c r="C1926" i="9" s="1"/>
  <c r="D796" i="6"/>
  <c r="C1925" i="9" s="1"/>
  <c r="D795" i="6"/>
  <c r="C1924" i="9" s="1"/>
  <c r="D794" i="6"/>
  <c r="C1923" i="9" s="1"/>
  <c r="D793" i="6"/>
  <c r="C1922" i="9" s="1"/>
  <c r="D792" i="6"/>
  <c r="C1921" i="9" s="1"/>
  <c r="D791" i="6"/>
  <c r="C1920" i="9" s="1"/>
  <c r="D790" i="6"/>
  <c r="C1919" i="9" s="1"/>
  <c r="D789" i="6"/>
  <c r="C1918" i="9" s="1"/>
  <c r="D788" i="6"/>
  <c r="C1917" i="9" s="1"/>
  <c r="D787" i="6"/>
  <c r="C1916" i="9" s="1"/>
  <c r="D785" i="6"/>
  <c r="C1914" i="9" s="1"/>
  <c r="D784" i="6"/>
  <c r="C1913" i="9" s="1"/>
  <c r="D783" i="6"/>
  <c r="C1912" i="9" s="1"/>
  <c r="D782" i="6"/>
  <c r="C1911" i="9" s="1"/>
  <c r="D781" i="6"/>
  <c r="C1910" i="9" s="1"/>
  <c r="D780" i="6"/>
  <c r="C1909" i="9" s="1"/>
  <c r="D779" i="6"/>
  <c r="C1908" i="9" s="1"/>
  <c r="D778" i="6"/>
  <c r="C1907" i="9" s="1"/>
  <c r="D777" i="6"/>
  <c r="C1906" i="9" s="1"/>
  <c r="D776" i="6"/>
  <c r="C1905" i="9" s="1"/>
  <c r="D775" i="6"/>
  <c r="C1904" i="9" s="1"/>
  <c r="D774" i="6"/>
  <c r="C1903" i="9" s="1"/>
  <c r="D773" i="6"/>
  <c r="C1902" i="9" s="1"/>
  <c r="D772" i="6"/>
  <c r="C1901" i="9" s="1"/>
  <c r="D771" i="6"/>
  <c r="C1900" i="9" s="1"/>
  <c r="D770" i="6"/>
  <c r="C1899" i="9" s="1"/>
  <c r="D769" i="6"/>
  <c r="C1898" i="9" s="1"/>
  <c r="D768" i="6"/>
  <c r="C1897" i="9" s="1"/>
  <c r="D767" i="6"/>
  <c r="C1896" i="9" s="1"/>
  <c r="D766" i="6"/>
  <c r="C1895" i="9" s="1"/>
  <c r="D765" i="6"/>
  <c r="C1894" i="9" s="1"/>
  <c r="D764" i="6"/>
  <c r="C1893" i="9" s="1"/>
  <c r="D763" i="6"/>
  <c r="C1892" i="9" s="1"/>
  <c r="D762" i="6"/>
  <c r="C1891" i="9" s="1"/>
  <c r="D761" i="6"/>
  <c r="C1890" i="9" s="1"/>
  <c r="D760" i="6"/>
  <c r="C1889" i="9" s="1"/>
  <c r="D759" i="6"/>
  <c r="C1888" i="9" s="1"/>
  <c r="D758" i="6"/>
  <c r="C1887" i="9" s="1"/>
  <c r="D757" i="6"/>
  <c r="C1886" i="9" s="1"/>
  <c r="D755" i="6"/>
  <c r="C1884" i="9" s="1"/>
  <c r="D754" i="6"/>
  <c r="C1883" i="9" s="1"/>
  <c r="D753" i="6"/>
  <c r="C1882" i="9" s="1"/>
  <c r="D752" i="6"/>
  <c r="C1881" i="9" s="1"/>
  <c r="D751" i="6"/>
  <c r="C1880" i="9" s="1"/>
  <c r="D750" i="6"/>
  <c r="C1879" i="9" s="1"/>
  <c r="D749" i="6"/>
  <c r="C1878" i="9" s="1"/>
  <c r="D748" i="6"/>
  <c r="C1877" i="9" s="1"/>
  <c r="D747" i="6"/>
  <c r="C1876" i="9" s="1"/>
  <c r="D746" i="6"/>
  <c r="C1875" i="9" s="1"/>
  <c r="D745" i="6"/>
  <c r="C1874" i="9" s="1"/>
  <c r="D744" i="6"/>
  <c r="C1873" i="9" s="1"/>
  <c r="D743" i="6"/>
  <c r="C1872" i="9" s="1"/>
  <c r="D742" i="6"/>
  <c r="C1871" i="9" s="1"/>
  <c r="D741" i="6"/>
  <c r="C1870" i="9" s="1"/>
  <c r="D740" i="6"/>
  <c r="C1869" i="9" s="1"/>
  <c r="D739" i="6"/>
  <c r="C1868" i="9" s="1"/>
  <c r="D738" i="6"/>
  <c r="C1867" i="9" s="1"/>
  <c r="D737" i="6"/>
  <c r="C1866" i="9" s="1"/>
  <c r="D736" i="6"/>
  <c r="C1865" i="9" s="1"/>
  <c r="D735" i="6"/>
  <c r="C1864" i="9" s="1"/>
  <c r="D734" i="6"/>
  <c r="C1863" i="9" s="1"/>
  <c r="D733" i="6"/>
  <c r="C1862" i="9" s="1"/>
  <c r="D731" i="6"/>
  <c r="C1860" i="9" s="1"/>
  <c r="D730" i="6"/>
  <c r="C1859" i="9" s="1"/>
  <c r="D729" i="6"/>
  <c r="C1858" i="9" s="1"/>
  <c r="D728" i="6"/>
  <c r="C1857" i="9" s="1"/>
  <c r="D727" i="6"/>
  <c r="C1856" i="9" s="1"/>
  <c r="D726" i="6"/>
  <c r="C1855" i="9" s="1"/>
  <c r="D725" i="6"/>
  <c r="C1854" i="9" s="1"/>
  <c r="D724" i="6"/>
  <c r="C1853" i="9" s="1"/>
  <c r="D723" i="6"/>
  <c r="C1852" i="9" s="1"/>
  <c r="D722" i="6"/>
  <c r="C1851" i="9" s="1"/>
  <c r="D721" i="6"/>
  <c r="C1850" i="9" s="1"/>
  <c r="D720" i="6"/>
  <c r="C1849" i="9" s="1"/>
  <c r="D719" i="6"/>
  <c r="C1848" i="9" s="1"/>
  <c r="D718" i="6"/>
  <c r="C1847" i="9" s="1"/>
  <c r="D717" i="6"/>
  <c r="C1846" i="9" s="1"/>
  <c r="D716" i="6"/>
  <c r="C1845" i="9" s="1"/>
  <c r="D715" i="6"/>
  <c r="C1844" i="9" s="1"/>
  <c r="D714" i="6"/>
  <c r="C1843" i="9" s="1"/>
  <c r="D713" i="6"/>
  <c r="C1842" i="9" s="1"/>
  <c r="D712" i="6"/>
  <c r="C1841" i="9" s="1"/>
  <c r="D711" i="6"/>
  <c r="C1840" i="9" s="1"/>
  <c r="D710" i="6"/>
  <c r="C1839" i="9" s="1"/>
  <c r="D709" i="6"/>
  <c r="C1838" i="9" s="1"/>
  <c r="D707" i="6"/>
  <c r="C1836" i="9" s="1"/>
  <c r="D706" i="6"/>
  <c r="C1835" i="9" s="1"/>
  <c r="D705" i="6"/>
  <c r="C1834" i="9" s="1"/>
  <c r="D704" i="6"/>
  <c r="C1833" i="9" s="1"/>
  <c r="D703" i="6"/>
  <c r="C1832" i="9" s="1"/>
  <c r="D702" i="6"/>
  <c r="C1831" i="9" s="1"/>
  <c r="D701" i="6"/>
  <c r="C1830" i="9" s="1"/>
  <c r="D700" i="6"/>
  <c r="C1829" i="9" s="1"/>
  <c r="D699" i="6"/>
  <c r="C1828" i="9" s="1"/>
  <c r="D698" i="6"/>
  <c r="C1827" i="9" s="1"/>
  <c r="D697" i="6"/>
  <c r="C1826" i="9" s="1"/>
  <c r="D696" i="6"/>
  <c r="C1825" i="9" s="1"/>
  <c r="D695" i="6"/>
  <c r="C1824" i="9" s="1"/>
  <c r="D694" i="6"/>
  <c r="C1823" i="9" s="1"/>
  <c r="D693" i="6"/>
  <c r="C1822" i="9" s="1"/>
  <c r="D692" i="6"/>
  <c r="C1821" i="9" s="1"/>
  <c r="D691" i="6"/>
  <c r="C1820" i="9" s="1"/>
  <c r="D690" i="6"/>
  <c r="C1819" i="9" s="1"/>
  <c r="D689" i="6"/>
  <c r="C1818" i="9" s="1"/>
  <c r="D688" i="6"/>
  <c r="C1817" i="9" s="1"/>
  <c r="D687" i="6"/>
  <c r="C1816" i="9" s="1"/>
  <c r="D686" i="6"/>
  <c r="C1815" i="9" s="1"/>
  <c r="D685" i="6"/>
  <c r="C1814" i="9" s="1"/>
  <c r="D684" i="6"/>
  <c r="C1813" i="9" s="1"/>
  <c r="D683" i="6"/>
  <c r="C1812" i="9" s="1"/>
  <c r="D682" i="6"/>
  <c r="C1811" i="9" s="1"/>
  <c r="D681" i="6"/>
  <c r="C1810" i="9" s="1"/>
  <c r="D680" i="6"/>
  <c r="C1809" i="9" s="1"/>
  <c r="D679" i="6"/>
  <c r="C1808" i="9" s="1"/>
  <c r="D678" i="6"/>
  <c r="C1807" i="9" s="1"/>
  <c r="D677" i="6"/>
  <c r="C1806" i="9" s="1"/>
  <c r="D676" i="6"/>
  <c r="C1805" i="9" s="1"/>
  <c r="D675" i="6"/>
  <c r="C1804" i="9" s="1"/>
  <c r="D674" i="6"/>
  <c r="C1803" i="9" s="1"/>
  <c r="D673" i="6"/>
  <c r="C1802" i="9" s="1"/>
  <c r="D672" i="6"/>
  <c r="C1801" i="9" s="1"/>
  <c r="D671" i="6"/>
  <c r="C1800" i="9" s="1"/>
  <c r="D670" i="6"/>
  <c r="C1799" i="9" s="1"/>
  <c r="D669" i="6"/>
  <c r="C1798" i="9" s="1"/>
  <c r="D668" i="6"/>
  <c r="C1797" i="9" s="1"/>
  <c r="D667" i="6"/>
  <c r="C1796" i="9" s="1"/>
  <c r="D666" i="6"/>
  <c r="C1795" i="9" s="1"/>
  <c r="D665" i="6"/>
  <c r="C1794" i="9" s="1"/>
  <c r="D664" i="6"/>
  <c r="C1793" i="9" s="1"/>
  <c r="D663" i="6"/>
  <c r="C1792" i="9" s="1"/>
  <c r="D662" i="6"/>
  <c r="C1791" i="9" s="1"/>
  <c r="D661" i="6"/>
  <c r="C1790" i="9" s="1"/>
  <c r="D659" i="6"/>
  <c r="C1788" i="9" s="1"/>
  <c r="D658" i="6"/>
  <c r="C1787" i="9" s="1"/>
  <c r="D657" i="6"/>
  <c r="C1786" i="9" s="1"/>
  <c r="D656" i="6"/>
  <c r="C1785" i="9" s="1"/>
  <c r="D655" i="6"/>
  <c r="C1784" i="9" s="1"/>
  <c r="D654" i="6"/>
  <c r="C1783" i="9" s="1"/>
  <c r="D653" i="6"/>
  <c r="C1782" i="9" s="1"/>
  <c r="D652" i="6"/>
  <c r="C1781" i="9" s="1"/>
  <c r="D651" i="6"/>
  <c r="C1780" i="9" s="1"/>
  <c r="D650" i="6"/>
  <c r="C1779" i="9" s="1"/>
  <c r="D649" i="6"/>
  <c r="C1778" i="9" s="1"/>
  <c r="D648" i="6"/>
  <c r="C1777" i="9" s="1"/>
  <c r="D647" i="6"/>
  <c r="C1776" i="9" s="1"/>
  <c r="D646" i="6"/>
  <c r="C1775" i="9" s="1"/>
  <c r="D645" i="6"/>
  <c r="C1774" i="9" s="1"/>
  <c r="D644" i="6"/>
  <c r="C1773" i="9" s="1"/>
  <c r="D643" i="6"/>
  <c r="C1772" i="9" s="1"/>
  <c r="D642" i="6"/>
  <c r="C1771" i="9" s="1"/>
  <c r="D641" i="6"/>
  <c r="C1770" i="9" s="1"/>
  <c r="D640" i="6"/>
  <c r="C1769" i="9" s="1"/>
  <c r="D639" i="6"/>
  <c r="C1768" i="9" s="1"/>
  <c r="D638" i="6"/>
  <c r="C1767" i="9" s="1"/>
  <c r="D637" i="6"/>
  <c r="C1766" i="9" s="1"/>
  <c r="D635" i="6"/>
  <c r="C1764" i="9" s="1"/>
  <c r="D634" i="6"/>
  <c r="C1763" i="9" s="1"/>
  <c r="D633" i="6"/>
  <c r="C1762" i="9" s="1"/>
  <c r="D632" i="6"/>
  <c r="C1761" i="9" s="1"/>
  <c r="D631" i="6"/>
  <c r="C1760" i="9" s="1"/>
  <c r="D630" i="6"/>
  <c r="C1759" i="9" s="1"/>
  <c r="D629" i="6"/>
  <c r="C1758" i="9" s="1"/>
  <c r="D628" i="6"/>
  <c r="C1757" i="9" s="1"/>
  <c r="D627" i="6"/>
  <c r="C1756" i="9" s="1"/>
  <c r="D626" i="6"/>
  <c r="C1755" i="9" s="1"/>
  <c r="D625" i="6"/>
  <c r="C1754" i="9" s="1"/>
  <c r="D624" i="6"/>
  <c r="C1753" i="9" s="1"/>
  <c r="D623" i="6"/>
  <c r="C1752" i="9" s="1"/>
  <c r="D622" i="6"/>
  <c r="C1751" i="9" s="1"/>
  <c r="D621" i="6"/>
  <c r="C1750" i="9" s="1"/>
  <c r="D620" i="6"/>
  <c r="C1749" i="9" s="1"/>
  <c r="D619" i="6"/>
  <c r="C1748" i="9" s="1"/>
  <c r="D618" i="6"/>
  <c r="C1747" i="9" s="1"/>
  <c r="D617" i="6"/>
  <c r="C1746" i="9" s="1"/>
  <c r="D616" i="6"/>
  <c r="C1745" i="9" s="1"/>
  <c r="D615" i="6"/>
  <c r="C1744" i="9" s="1"/>
  <c r="D614" i="6"/>
  <c r="C1743" i="9" s="1"/>
  <c r="D613" i="6"/>
  <c r="C1742" i="9" s="1"/>
  <c r="D611" i="6"/>
  <c r="C1740" i="9" s="1"/>
  <c r="D610" i="6"/>
  <c r="C1739" i="9" s="1"/>
  <c r="D609" i="6"/>
  <c r="C1738" i="9" s="1"/>
  <c r="D608" i="6"/>
  <c r="C1737" i="9" s="1"/>
  <c r="D607" i="6"/>
  <c r="C1736" i="9" s="1"/>
  <c r="D606" i="6"/>
  <c r="C1735" i="9" s="1"/>
  <c r="D605" i="6"/>
  <c r="C1734" i="9" s="1"/>
  <c r="D604" i="6"/>
  <c r="C1733" i="9" s="1"/>
  <c r="D603" i="6"/>
  <c r="C1732" i="9" s="1"/>
  <c r="D602" i="6"/>
  <c r="C1731" i="9" s="1"/>
  <c r="D601" i="6"/>
  <c r="C1730" i="9" s="1"/>
  <c r="D600" i="6"/>
  <c r="C1729" i="9" s="1"/>
  <c r="D599" i="6"/>
  <c r="C1728" i="9" s="1"/>
  <c r="D598" i="6"/>
  <c r="C1727" i="9" s="1"/>
  <c r="D597" i="6"/>
  <c r="C1726" i="9" s="1"/>
  <c r="D596" i="6"/>
  <c r="C1725" i="9" s="1"/>
  <c r="D595" i="6"/>
  <c r="C1724" i="9" s="1"/>
  <c r="D594" i="6"/>
  <c r="C1723" i="9" s="1"/>
  <c r="D593" i="6"/>
  <c r="C1722" i="9" s="1"/>
  <c r="D592" i="6"/>
  <c r="C1721" i="9" s="1"/>
  <c r="D591" i="6"/>
  <c r="C1720" i="9" s="1"/>
  <c r="D590" i="6"/>
  <c r="C1719" i="9" s="1"/>
  <c r="D589" i="6"/>
  <c r="C1718" i="9" s="1"/>
  <c r="D587" i="6"/>
  <c r="C1716" i="9" s="1"/>
  <c r="D586" i="6"/>
  <c r="C1715" i="9" s="1"/>
  <c r="D585" i="6"/>
  <c r="C1714" i="9" s="1"/>
  <c r="D584" i="6"/>
  <c r="C1713" i="9" s="1"/>
  <c r="D583" i="6"/>
  <c r="C1712" i="9" s="1"/>
  <c r="D582" i="6"/>
  <c r="C1711" i="9" s="1"/>
  <c r="D581" i="6"/>
  <c r="C1710" i="9" s="1"/>
  <c r="D580" i="6"/>
  <c r="C1709" i="9" s="1"/>
  <c r="D579" i="6"/>
  <c r="C1708" i="9" s="1"/>
  <c r="D578" i="6"/>
  <c r="C1707" i="9" s="1"/>
  <c r="D577" i="6"/>
  <c r="C1706" i="9" s="1"/>
  <c r="D576" i="6"/>
  <c r="C1705" i="9" s="1"/>
  <c r="D575" i="6"/>
  <c r="C1704" i="9" s="1"/>
  <c r="D574" i="6"/>
  <c r="C1703" i="9" s="1"/>
  <c r="D573" i="6"/>
  <c r="C1702" i="9" s="1"/>
  <c r="D572" i="6"/>
  <c r="C1701" i="9" s="1"/>
  <c r="D571" i="6"/>
  <c r="C1700" i="9" s="1"/>
  <c r="D570" i="6"/>
  <c r="C1699" i="9" s="1"/>
  <c r="D569" i="6"/>
  <c r="C1698" i="9" s="1"/>
  <c r="D568" i="6"/>
  <c r="C1697" i="9" s="1"/>
  <c r="D567" i="6"/>
  <c r="C1696" i="9" s="1"/>
  <c r="D566" i="6"/>
  <c r="C1695" i="9" s="1"/>
  <c r="D565" i="6"/>
  <c r="C1694" i="9" s="1"/>
  <c r="D563" i="6"/>
  <c r="C1692" i="9" s="1"/>
  <c r="D562" i="6"/>
  <c r="C1691" i="9" s="1"/>
  <c r="D561" i="6"/>
  <c r="C1690" i="9" s="1"/>
  <c r="D560" i="6"/>
  <c r="C1689" i="9" s="1"/>
  <c r="D559" i="6"/>
  <c r="C1688" i="9" s="1"/>
  <c r="D558" i="6"/>
  <c r="C1687" i="9" s="1"/>
  <c r="D557" i="6"/>
  <c r="C1686" i="9" s="1"/>
  <c r="D556" i="6"/>
  <c r="C1685" i="9" s="1"/>
  <c r="D555" i="6"/>
  <c r="C1684" i="9" s="1"/>
  <c r="D554" i="6"/>
  <c r="C1683" i="9" s="1"/>
  <c r="D553" i="6"/>
  <c r="C1682" i="9" s="1"/>
  <c r="D552" i="6"/>
  <c r="C1681" i="9" s="1"/>
  <c r="D551" i="6"/>
  <c r="C1680" i="9" s="1"/>
  <c r="D550" i="6"/>
  <c r="C1679" i="9" s="1"/>
  <c r="D549" i="6"/>
  <c r="C1678" i="9" s="1"/>
  <c r="D548" i="6"/>
  <c r="C1677" i="9" s="1"/>
  <c r="D547" i="6"/>
  <c r="C1676" i="9" s="1"/>
  <c r="D546" i="6"/>
  <c r="C1675" i="9" s="1"/>
  <c r="D545" i="6"/>
  <c r="C1674" i="9" s="1"/>
  <c r="D544" i="6"/>
  <c r="C1673" i="9" s="1"/>
  <c r="D543" i="6"/>
  <c r="C1672" i="9" s="1"/>
  <c r="D542" i="6"/>
  <c r="C1671" i="9" s="1"/>
  <c r="D541" i="6"/>
  <c r="C1670" i="9" s="1"/>
  <c r="D540" i="6"/>
  <c r="C1669" i="9" s="1"/>
  <c r="D539" i="6"/>
  <c r="C1668" i="9" s="1"/>
  <c r="D538" i="6"/>
  <c r="C1667" i="9" s="1"/>
  <c r="D537" i="6"/>
  <c r="C1666" i="9" s="1"/>
  <c r="D536" i="6"/>
  <c r="C1665" i="9" s="1"/>
  <c r="D535" i="6"/>
  <c r="C1664" i="9" s="1"/>
  <c r="D534" i="6"/>
  <c r="C1663" i="9" s="1"/>
  <c r="D533" i="6"/>
  <c r="C1662" i="9" s="1"/>
  <c r="D532" i="6"/>
  <c r="C1661" i="9" s="1"/>
  <c r="D531" i="6"/>
  <c r="C1660" i="9" s="1"/>
  <c r="D530" i="6"/>
  <c r="C1659" i="9" s="1"/>
  <c r="D529" i="6"/>
  <c r="C1658" i="9" s="1"/>
  <c r="D528" i="6"/>
  <c r="C1657" i="9" s="1"/>
  <c r="D527" i="6"/>
  <c r="C1656" i="9" s="1"/>
  <c r="D526" i="6"/>
  <c r="C1655" i="9" s="1"/>
  <c r="D525" i="6"/>
  <c r="C1654" i="9" s="1"/>
  <c r="D524" i="6"/>
  <c r="C1653" i="9" s="1"/>
  <c r="D523" i="6"/>
  <c r="C1652" i="9" s="1"/>
  <c r="D522" i="6"/>
  <c r="C1651" i="9" s="1"/>
  <c r="D521" i="6"/>
  <c r="C1650" i="9" s="1"/>
  <c r="D520" i="6"/>
  <c r="C1649" i="9" s="1"/>
  <c r="D519" i="6"/>
  <c r="C1648" i="9" s="1"/>
  <c r="D518" i="6"/>
  <c r="C1647" i="9" s="1"/>
  <c r="D517" i="6"/>
  <c r="C1646" i="9" s="1"/>
  <c r="D515" i="6"/>
  <c r="C1644" i="9" s="1"/>
  <c r="D514" i="6"/>
  <c r="C1643" i="9" s="1"/>
  <c r="D513" i="6"/>
  <c r="C1642" i="9" s="1"/>
  <c r="D512" i="6"/>
  <c r="C1641" i="9" s="1"/>
  <c r="D511" i="6"/>
  <c r="C1640" i="9" s="1"/>
  <c r="D510" i="6"/>
  <c r="C1639" i="9" s="1"/>
  <c r="D509" i="6"/>
  <c r="C1638" i="9" s="1"/>
  <c r="D508" i="6"/>
  <c r="C1637" i="9" s="1"/>
  <c r="D507" i="6"/>
  <c r="C1636" i="9" s="1"/>
  <c r="D506" i="6"/>
  <c r="C1635" i="9" s="1"/>
  <c r="D505" i="6"/>
  <c r="C1634" i="9" s="1"/>
  <c r="D504" i="6"/>
  <c r="C1633" i="9" s="1"/>
  <c r="D503" i="6"/>
  <c r="C1632" i="9" s="1"/>
  <c r="D502" i="6"/>
  <c r="C1631" i="9" s="1"/>
  <c r="D501" i="6"/>
  <c r="C1630" i="9" s="1"/>
  <c r="D500" i="6"/>
  <c r="C1629" i="9" s="1"/>
  <c r="D499" i="6"/>
  <c r="C1628" i="9" s="1"/>
  <c r="D498" i="6"/>
  <c r="C1627" i="9" s="1"/>
  <c r="D497" i="6"/>
  <c r="C1626" i="9" s="1"/>
  <c r="D496" i="6"/>
  <c r="C1625" i="9" s="1"/>
  <c r="D495" i="6"/>
  <c r="C1624" i="9" s="1"/>
  <c r="D494" i="6"/>
  <c r="C1623" i="9" s="1"/>
  <c r="D493" i="6"/>
  <c r="C1622" i="9" s="1"/>
  <c r="D491" i="6"/>
  <c r="C1620" i="9" s="1"/>
  <c r="D490" i="6"/>
  <c r="C1619" i="9" s="1"/>
  <c r="D489" i="6"/>
  <c r="C1618" i="9" s="1"/>
  <c r="D488" i="6"/>
  <c r="C1617" i="9" s="1"/>
  <c r="D487" i="6"/>
  <c r="C1616" i="9" s="1"/>
  <c r="D486" i="6"/>
  <c r="C1615" i="9" s="1"/>
  <c r="D485" i="6"/>
  <c r="C1614" i="9" s="1"/>
  <c r="D484" i="6"/>
  <c r="C1613" i="9" s="1"/>
  <c r="D483" i="6"/>
  <c r="C1612" i="9" s="1"/>
  <c r="D482" i="6"/>
  <c r="C1611" i="9" s="1"/>
  <c r="D481" i="6"/>
  <c r="C1610" i="9" s="1"/>
  <c r="D480" i="6"/>
  <c r="C1609" i="9" s="1"/>
  <c r="D479" i="6"/>
  <c r="C1608" i="9" s="1"/>
  <c r="D478" i="6"/>
  <c r="C1607" i="9" s="1"/>
  <c r="D477" i="6"/>
  <c r="C1606" i="9" s="1"/>
  <c r="D476" i="6"/>
  <c r="C1605" i="9" s="1"/>
  <c r="D475" i="6"/>
  <c r="C1604" i="9" s="1"/>
  <c r="D474" i="6"/>
  <c r="C1603" i="9" s="1"/>
  <c r="D473" i="6"/>
  <c r="C1602" i="9" s="1"/>
  <c r="D472" i="6"/>
  <c r="C1601" i="9" s="1"/>
  <c r="D471" i="6"/>
  <c r="C1600" i="9" s="1"/>
  <c r="D470" i="6"/>
  <c r="C1599" i="9" s="1"/>
  <c r="D469" i="6"/>
  <c r="C1598" i="9" s="1"/>
  <c r="D467" i="6"/>
  <c r="C1596" i="9" s="1"/>
  <c r="D466" i="6"/>
  <c r="C1595" i="9" s="1"/>
  <c r="D465" i="6"/>
  <c r="C1594" i="9" s="1"/>
  <c r="D464" i="6"/>
  <c r="C1593" i="9" s="1"/>
  <c r="D463" i="6"/>
  <c r="C1592" i="9" s="1"/>
  <c r="D462" i="6"/>
  <c r="C1591" i="9" s="1"/>
  <c r="D461" i="6"/>
  <c r="C1590" i="9" s="1"/>
  <c r="D460" i="6"/>
  <c r="C1589" i="9" s="1"/>
  <c r="D459" i="6"/>
  <c r="C1588" i="9" s="1"/>
  <c r="D458" i="6"/>
  <c r="C1587" i="9" s="1"/>
  <c r="D457" i="6"/>
  <c r="C1586" i="9" s="1"/>
  <c r="D456" i="6"/>
  <c r="C1585" i="9" s="1"/>
  <c r="D455" i="6"/>
  <c r="C1584" i="9" s="1"/>
  <c r="D454" i="6"/>
  <c r="C1583" i="9" s="1"/>
  <c r="D453" i="6"/>
  <c r="C1582" i="9" s="1"/>
  <c r="D452" i="6"/>
  <c r="C1581" i="9" s="1"/>
  <c r="D451" i="6"/>
  <c r="C1580" i="9" s="1"/>
  <c r="D450" i="6"/>
  <c r="C1579" i="9" s="1"/>
  <c r="D449" i="6"/>
  <c r="C1578" i="9" s="1"/>
  <c r="D448" i="6"/>
  <c r="C1577" i="9" s="1"/>
  <c r="D447" i="6"/>
  <c r="C1576" i="9" s="1"/>
  <c r="D446" i="6"/>
  <c r="C1575" i="9" s="1"/>
  <c r="D445" i="6"/>
  <c r="C1574" i="9" s="1"/>
  <c r="D443" i="6"/>
  <c r="C1572" i="9" s="1"/>
  <c r="D442" i="6"/>
  <c r="C1571" i="9" s="1"/>
  <c r="D441" i="6"/>
  <c r="C1570" i="9" s="1"/>
  <c r="D440" i="6"/>
  <c r="C1569" i="9" s="1"/>
  <c r="D439" i="6"/>
  <c r="C1568" i="9" s="1"/>
  <c r="D438" i="6"/>
  <c r="C1567" i="9" s="1"/>
  <c r="D437" i="6"/>
  <c r="C1566" i="9" s="1"/>
  <c r="D436" i="6"/>
  <c r="C1565" i="9" s="1"/>
  <c r="D435" i="6"/>
  <c r="C1564" i="9" s="1"/>
  <c r="D434" i="6"/>
  <c r="C1563" i="9" s="1"/>
  <c r="D433" i="6"/>
  <c r="C1562" i="9" s="1"/>
  <c r="D432" i="6"/>
  <c r="C1561" i="9" s="1"/>
  <c r="D431" i="6"/>
  <c r="C1560" i="9" s="1"/>
  <c r="D430" i="6"/>
  <c r="C1559" i="9" s="1"/>
  <c r="D429" i="6"/>
  <c r="C1558" i="9" s="1"/>
  <c r="D428" i="6"/>
  <c r="C1557" i="9" s="1"/>
  <c r="D427" i="6"/>
  <c r="C1556" i="9" s="1"/>
  <c r="D426" i="6"/>
  <c r="C1555" i="9" s="1"/>
  <c r="D425" i="6"/>
  <c r="C1554" i="9" s="1"/>
  <c r="D424" i="6"/>
  <c r="C1553" i="9" s="1"/>
  <c r="D423" i="6"/>
  <c r="C1552" i="9" s="1"/>
  <c r="D422" i="6"/>
  <c r="C1551" i="9" s="1"/>
  <c r="D421" i="6"/>
  <c r="C1550" i="9" s="1"/>
  <c r="D419" i="6"/>
  <c r="C1548" i="9" s="1"/>
  <c r="D418" i="6"/>
  <c r="C1547" i="9" s="1"/>
  <c r="D417" i="6"/>
  <c r="C1546" i="9" s="1"/>
  <c r="D416" i="6"/>
  <c r="C1545" i="9" s="1"/>
  <c r="D415" i="6"/>
  <c r="C1544" i="9" s="1"/>
  <c r="D414" i="6"/>
  <c r="C1543" i="9" s="1"/>
  <c r="D413" i="6"/>
  <c r="C1542" i="9" s="1"/>
  <c r="D412" i="6"/>
  <c r="C1541" i="9" s="1"/>
  <c r="D411" i="6"/>
  <c r="C1540" i="9" s="1"/>
  <c r="D410" i="6"/>
  <c r="C1539" i="9" s="1"/>
  <c r="D409" i="6"/>
  <c r="C1538" i="9" s="1"/>
  <c r="D408" i="6"/>
  <c r="C1537" i="9" s="1"/>
  <c r="D407" i="6"/>
  <c r="C1536" i="9" s="1"/>
  <c r="D406" i="6"/>
  <c r="C1535" i="9" s="1"/>
  <c r="D405" i="6"/>
  <c r="C1534" i="9" s="1"/>
  <c r="D404" i="6"/>
  <c r="C1533" i="9" s="1"/>
  <c r="D403" i="6"/>
  <c r="C1532" i="9" s="1"/>
  <c r="D402" i="6"/>
  <c r="C1531" i="9" s="1"/>
  <c r="D401" i="6"/>
  <c r="C1530" i="9" s="1"/>
  <c r="D400" i="6"/>
  <c r="C1529" i="9" s="1"/>
  <c r="D399" i="6"/>
  <c r="C1528" i="9" s="1"/>
  <c r="D398" i="6"/>
  <c r="C1527" i="9" s="1"/>
  <c r="D397" i="6"/>
  <c r="C1526" i="9" s="1"/>
  <c r="D395" i="6"/>
  <c r="C1524" i="9" s="1"/>
  <c r="D394" i="6"/>
  <c r="C1523" i="9" s="1"/>
  <c r="D393" i="6"/>
  <c r="C1522" i="9" s="1"/>
  <c r="D392" i="6"/>
  <c r="C1521" i="9" s="1"/>
  <c r="D391" i="6"/>
  <c r="C1520" i="9" s="1"/>
  <c r="D390" i="6"/>
  <c r="C1519" i="9" s="1"/>
  <c r="D389" i="6"/>
  <c r="C1518" i="9" s="1"/>
  <c r="D388" i="6"/>
  <c r="C1517" i="9" s="1"/>
  <c r="D387" i="6"/>
  <c r="C1516" i="9" s="1"/>
  <c r="D386" i="6"/>
  <c r="C1515" i="9" s="1"/>
  <c r="D385" i="6"/>
  <c r="C1514" i="9" s="1"/>
  <c r="D384" i="6"/>
  <c r="C1513" i="9" s="1"/>
  <c r="D383" i="6"/>
  <c r="C1512" i="9" s="1"/>
  <c r="D382" i="6"/>
  <c r="C1511" i="9" s="1"/>
  <c r="D381" i="6"/>
  <c r="C1510" i="9" s="1"/>
  <c r="D380" i="6"/>
  <c r="C1509" i="9" s="1"/>
  <c r="D379" i="6"/>
  <c r="C1508" i="9" s="1"/>
  <c r="D378" i="6"/>
  <c r="C1507" i="9" s="1"/>
  <c r="D377" i="6"/>
  <c r="C1506" i="9" s="1"/>
  <c r="D376" i="6"/>
  <c r="C1505" i="9" s="1"/>
  <c r="D375" i="6"/>
  <c r="C1504" i="9" s="1"/>
  <c r="D374" i="6"/>
  <c r="C1503" i="9" s="1"/>
  <c r="D373" i="6"/>
  <c r="C1502" i="9" s="1"/>
  <c r="D372" i="6"/>
  <c r="C1501" i="9" s="1"/>
  <c r="D371" i="6"/>
  <c r="C1500" i="9" s="1"/>
  <c r="D370" i="6"/>
  <c r="C1499" i="9" s="1"/>
  <c r="D369" i="6"/>
  <c r="C1498" i="9" s="1"/>
  <c r="D368" i="6"/>
  <c r="C1497" i="9" s="1"/>
  <c r="D367" i="6"/>
  <c r="C1496" i="9" s="1"/>
  <c r="D366" i="6"/>
  <c r="C1495" i="9" s="1"/>
  <c r="D365" i="6"/>
  <c r="C1494" i="9" s="1"/>
  <c r="D364" i="6"/>
  <c r="C1493" i="9" s="1"/>
  <c r="D363" i="6"/>
  <c r="C1492" i="9" s="1"/>
  <c r="D362" i="6"/>
  <c r="C1491" i="9" s="1"/>
  <c r="D361" i="6"/>
  <c r="C1490" i="9" s="1"/>
  <c r="D360" i="6"/>
  <c r="C1489" i="9" s="1"/>
  <c r="D359" i="6"/>
  <c r="C1488" i="9" s="1"/>
  <c r="D358" i="6"/>
  <c r="C1487" i="9" s="1"/>
  <c r="D357" i="6"/>
  <c r="C1486" i="9" s="1"/>
  <c r="D356" i="6"/>
  <c r="C1485" i="9" s="1"/>
  <c r="D355" i="6"/>
  <c r="C1484" i="9" s="1"/>
  <c r="D354" i="6"/>
  <c r="C1483" i="9" s="1"/>
  <c r="D353" i="6"/>
  <c r="C1482" i="9" s="1"/>
  <c r="D352" i="6"/>
  <c r="C1481" i="9" s="1"/>
  <c r="D351" i="6"/>
  <c r="C1480" i="9" s="1"/>
  <c r="D350" i="6"/>
  <c r="C1479" i="9" s="1"/>
  <c r="D349" i="6"/>
  <c r="C1478" i="9" s="1"/>
  <c r="D347" i="6"/>
  <c r="C1476" i="9" s="1"/>
  <c r="D346" i="6"/>
  <c r="C1475" i="9" s="1"/>
  <c r="D345" i="6"/>
  <c r="C1474" i="9" s="1"/>
  <c r="D344" i="6"/>
  <c r="C1473" i="9" s="1"/>
  <c r="D343" i="6"/>
  <c r="C1472" i="9" s="1"/>
  <c r="D342" i="6"/>
  <c r="C1471" i="9" s="1"/>
  <c r="D341" i="6"/>
  <c r="C1470" i="9" s="1"/>
  <c r="D340" i="6"/>
  <c r="C1469" i="9" s="1"/>
  <c r="D339" i="6"/>
  <c r="C1468" i="9" s="1"/>
  <c r="D338" i="6"/>
  <c r="C1467" i="9" s="1"/>
  <c r="D337" i="6"/>
  <c r="C1466" i="9" s="1"/>
  <c r="D336" i="6"/>
  <c r="C1465" i="9" s="1"/>
  <c r="D335" i="6"/>
  <c r="C1464" i="9" s="1"/>
  <c r="D334" i="6"/>
  <c r="C1463" i="9" s="1"/>
  <c r="D333" i="6"/>
  <c r="C1462" i="9" s="1"/>
  <c r="D332" i="6"/>
  <c r="C1461" i="9" s="1"/>
  <c r="D331" i="6"/>
  <c r="C1460" i="9" s="1"/>
  <c r="D330" i="6"/>
  <c r="C1459" i="9" s="1"/>
  <c r="D329" i="6"/>
  <c r="C1458" i="9" s="1"/>
  <c r="D328" i="6"/>
  <c r="C1457" i="9" s="1"/>
  <c r="D327" i="6"/>
  <c r="C1456" i="9" s="1"/>
  <c r="D326" i="6"/>
  <c r="C1455" i="9" s="1"/>
  <c r="D325" i="6"/>
  <c r="C1454" i="9" s="1"/>
  <c r="D323" i="6"/>
  <c r="C1452" i="9" s="1"/>
  <c r="D322" i="6"/>
  <c r="C1451" i="9" s="1"/>
  <c r="D321" i="6"/>
  <c r="C1450" i="9" s="1"/>
  <c r="D320" i="6"/>
  <c r="C1449" i="9" s="1"/>
  <c r="D319" i="6"/>
  <c r="C1448" i="9" s="1"/>
  <c r="D318" i="6"/>
  <c r="C1447" i="9" s="1"/>
  <c r="D317" i="6"/>
  <c r="C1446" i="9" s="1"/>
  <c r="D316" i="6"/>
  <c r="C1445" i="9" s="1"/>
  <c r="D315" i="6"/>
  <c r="C1444" i="9" s="1"/>
  <c r="D314" i="6"/>
  <c r="C1443" i="9" s="1"/>
  <c r="D313" i="6"/>
  <c r="C1442" i="9" s="1"/>
  <c r="D312" i="6"/>
  <c r="C1441" i="9" s="1"/>
  <c r="D311" i="6"/>
  <c r="C1440" i="9" s="1"/>
  <c r="D310" i="6"/>
  <c r="C1439" i="9" s="1"/>
  <c r="D309" i="6"/>
  <c r="C1438" i="9" s="1"/>
  <c r="D308" i="6"/>
  <c r="C1437" i="9" s="1"/>
  <c r="D307" i="6"/>
  <c r="C1436" i="9" s="1"/>
  <c r="D306" i="6"/>
  <c r="C1435" i="9" s="1"/>
  <c r="D305" i="6"/>
  <c r="C1434" i="9" s="1"/>
  <c r="D304" i="6"/>
  <c r="C1433" i="9" s="1"/>
  <c r="D303" i="6"/>
  <c r="C1432" i="9" s="1"/>
  <c r="D302" i="6"/>
  <c r="C1431" i="9" s="1"/>
  <c r="D301" i="6"/>
  <c r="C1430" i="9" s="1"/>
  <c r="D299" i="6"/>
  <c r="C1428" i="9" s="1"/>
  <c r="D298" i="6"/>
  <c r="C1427" i="9" s="1"/>
  <c r="D297" i="6"/>
  <c r="C1426" i="9" s="1"/>
  <c r="D296" i="6"/>
  <c r="C1425" i="9" s="1"/>
  <c r="D295" i="6"/>
  <c r="C1424" i="9" s="1"/>
  <c r="D294" i="6"/>
  <c r="C1423" i="9" s="1"/>
  <c r="D293" i="6"/>
  <c r="C1422" i="9" s="1"/>
  <c r="D292" i="6"/>
  <c r="C1421" i="9" s="1"/>
  <c r="D291" i="6"/>
  <c r="C1420" i="9" s="1"/>
  <c r="D290" i="6"/>
  <c r="C1419" i="9" s="1"/>
  <c r="D289" i="6"/>
  <c r="C1418" i="9" s="1"/>
  <c r="D288" i="6"/>
  <c r="C1417" i="9" s="1"/>
  <c r="D287" i="6"/>
  <c r="C1416" i="9" s="1"/>
  <c r="D286" i="6"/>
  <c r="C1415" i="9" s="1"/>
  <c r="D285" i="6"/>
  <c r="C1414" i="9" s="1"/>
  <c r="D284" i="6"/>
  <c r="C1413" i="9" s="1"/>
  <c r="D283" i="6"/>
  <c r="C1412" i="9" s="1"/>
  <c r="D282" i="6"/>
  <c r="C1411" i="9" s="1"/>
  <c r="D281" i="6"/>
  <c r="C1410" i="9" s="1"/>
  <c r="D280" i="6"/>
  <c r="C1409" i="9" s="1"/>
  <c r="D279" i="6"/>
  <c r="C1408" i="9" s="1"/>
  <c r="D278" i="6"/>
  <c r="C1407" i="9" s="1"/>
  <c r="D277" i="6"/>
  <c r="C1406" i="9" s="1"/>
  <c r="D275" i="6"/>
  <c r="C1404" i="9" s="1"/>
  <c r="D274" i="6"/>
  <c r="C1403" i="9" s="1"/>
  <c r="D273" i="6"/>
  <c r="C1402" i="9" s="1"/>
  <c r="D272" i="6"/>
  <c r="C1401" i="9" s="1"/>
  <c r="D271" i="6"/>
  <c r="C1400" i="9" s="1"/>
  <c r="D270" i="6"/>
  <c r="C1399" i="9" s="1"/>
  <c r="D269" i="6"/>
  <c r="C1398" i="9" s="1"/>
  <c r="D268" i="6"/>
  <c r="C1397" i="9" s="1"/>
  <c r="D267" i="6"/>
  <c r="C1396" i="9" s="1"/>
  <c r="D266" i="6"/>
  <c r="C1395" i="9" s="1"/>
  <c r="D265" i="6"/>
  <c r="C1394" i="9" s="1"/>
  <c r="D264" i="6"/>
  <c r="C1393" i="9" s="1"/>
  <c r="D263" i="6"/>
  <c r="C1392" i="9" s="1"/>
  <c r="D262" i="6"/>
  <c r="C1391" i="9" s="1"/>
  <c r="D261" i="6"/>
  <c r="C1390" i="9" s="1"/>
  <c r="D260" i="6"/>
  <c r="C1389" i="9" s="1"/>
  <c r="D259" i="6"/>
  <c r="C1388" i="9" s="1"/>
  <c r="D258" i="6"/>
  <c r="C1387" i="9" s="1"/>
  <c r="D257" i="6"/>
  <c r="C1386" i="9" s="1"/>
  <c r="D256" i="6"/>
  <c r="C1385" i="9" s="1"/>
  <c r="D255" i="6"/>
  <c r="C1384" i="9" s="1"/>
  <c r="D254" i="6"/>
  <c r="C1383" i="9" s="1"/>
  <c r="D253" i="6"/>
  <c r="C1382" i="9" s="1"/>
  <c r="D251" i="6"/>
  <c r="C1380" i="9" s="1"/>
  <c r="D250" i="6"/>
  <c r="C1379" i="9" s="1"/>
  <c r="D249" i="6"/>
  <c r="C1378" i="9" s="1"/>
  <c r="D248" i="6"/>
  <c r="C1377" i="9" s="1"/>
  <c r="D247" i="6"/>
  <c r="C1376" i="9" s="1"/>
  <c r="D246" i="6"/>
  <c r="C1375" i="9" s="1"/>
  <c r="D245" i="6"/>
  <c r="C1374" i="9" s="1"/>
  <c r="D244" i="6"/>
  <c r="C1373" i="9" s="1"/>
  <c r="D243" i="6"/>
  <c r="C1372" i="9" s="1"/>
  <c r="D242" i="6"/>
  <c r="C1371" i="9" s="1"/>
  <c r="D241" i="6"/>
  <c r="C1370" i="9" s="1"/>
  <c r="D240" i="6"/>
  <c r="C1369" i="9" s="1"/>
  <c r="D239" i="6"/>
  <c r="C1368" i="9" s="1"/>
  <c r="D238" i="6"/>
  <c r="C1367" i="9" s="1"/>
  <c r="D237" i="6"/>
  <c r="C1366" i="9" s="1"/>
  <c r="D236" i="6"/>
  <c r="C1365" i="9" s="1"/>
  <c r="D235" i="6"/>
  <c r="C1364" i="9" s="1"/>
  <c r="D234" i="6"/>
  <c r="C1363" i="9" s="1"/>
  <c r="D233" i="6"/>
  <c r="C1362" i="9" s="1"/>
  <c r="D232" i="6"/>
  <c r="C1361" i="9" s="1"/>
  <c r="D231" i="6"/>
  <c r="C1360" i="9" s="1"/>
  <c r="D230" i="6"/>
  <c r="C1359" i="9" s="1"/>
  <c r="D229" i="6"/>
  <c r="C1358" i="9" s="1"/>
  <c r="D228" i="6"/>
  <c r="C1357" i="9" s="1"/>
  <c r="D227" i="6"/>
  <c r="C1356" i="9" s="1"/>
  <c r="D226" i="6"/>
  <c r="C1355" i="9" s="1"/>
  <c r="D225" i="6"/>
  <c r="C1354" i="9" s="1"/>
  <c r="D224" i="6"/>
  <c r="C1353" i="9" s="1"/>
  <c r="D223" i="6"/>
  <c r="C1352" i="9" s="1"/>
  <c r="D222" i="6"/>
  <c r="C1351" i="9" s="1"/>
  <c r="D221" i="6"/>
  <c r="C1350" i="9" s="1"/>
  <c r="D220" i="6"/>
  <c r="C1349" i="9" s="1"/>
  <c r="D219" i="6"/>
  <c r="C1348" i="9" s="1"/>
  <c r="D218" i="6"/>
  <c r="C1347" i="9" s="1"/>
  <c r="D217" i="6"/>
  <c r="C1346" i="9" s="1"/>
  <c r="D216" i="6"/>
  <c r="C1345" i="9" s="1"/>
  <c r="D215" i="6"/>
  <c r="C1344" i="9" s="1"/>
  <c r="D214" i="6"/>
  <c r="C1343" i="9" s="1"/>
  <c r="D213" i="6"/>
  <c r="C1342" i="9" s="1"/>
  <c r="D212" i="6"/>
  <c r="C1341" i="9" s="1"/>
  <c r="D211" i="6"/>
  <c r="C1340" i="9" s="1"/>
  <c r="D210" i="6"/>
  <c r="C1339" i="9" s="1"/>
  <c r="D209" i="6"/>
  <c r="C1338" i="9" s="1"/>
  <c r="D208" i="6"/>
  <c r="C1337" i="9" s="1"/>
  <c r="D207" i="6"/>
  <c r="C1336" i="9" s="1"/>
  <c r="D206" i="6"/>
  <c r="C1335" i="9" s="1"/>
  <c r="D205" i="6"/>
  <c r="C1334" i="9" s="1"/>
  <c r="D204" i="6"/>
  <c r="C1333" i="9" s="1"/>
  <c r="D203" i="6"/>
  <c r="C1332" i="9" s="1"/>
  <c r="D202" i="6"/>
  <c r="C1331" i="9" s="1"/>
  <c r="D201" i="6"/>
  <c r="C1330" i="9" s="1"/>
  <c r="D200" i="6"/>
  <c r="C1329" i="9" s="1"/>
  <c r="D199" i="6"/>
  <c r="C1328" i="9" s="1"/>
  <c r="D197" i="6"/>
  <c r="C1326" i="9" s="1"/>
  <c r="D196" i="6"/>
  <c r="C1325" i="9" s="1"/>
  <c r="D195" i="6"/>
  <c r="C1324" i="9" s="1"/>
  <c r="D194" i="6"/>
  <c r="C1323" i="9" s="1"/>
  <c r="D193" i="6"/>
  <c r="C1322" i="9" s="1"/>
  <c r="D192" i="6"/>
  <c r="C1321" i="9" s="1"/>
  <c r="D191" i="6"/>
  <c r="C1320" i="9" s="1"/>
  <c r="D190" i="6"/>
  <c r="C1319" i="9" s="1"/>
  <c r="D189" i="6"/>
  <c r="C1318" i="9" s="1"/>
  <c r="D188" i="6"/>
  <c r="C1317" i="9" s="1"/>
  <c r="D187" i="6"/>
  <c r="C1316" i="9" s="1"/>
  <c r="D186" i="6"/>
  <c r="C1315" i="9" s="1"/>
  <c r="D185" i="6"/>
  <c r="C1314" i="9" s="1"/>
  <c r="D184" i="6"/>
  <c r="C1313" i="9" s="1"/>
  <c r="D183" i="6"/>
  <c r="C1312" i="9" s="1"/>
  <c r="D182" i="6"/>
  <c r="C1311" i="9" s="1"/>
  <c r="D181" i="6"/>
  <c r="C1310" i="9" s="1"/>
  <c r="D180" i="6"/>
  <c r="C1309" i="9" s="1"/>
  <c r="D179" i="6"/>
  <c r="C1308" i="9" s="1"/>
  <c r="D178" i="6"/>
  <c r="C1307" i="9" s="1"/>
  <c r="D177" i="6"/>
  <c r="C1306" i="9" s="1"/>
  <c r="D176" i="6"/>
  <c r="C1305" i="9" s="1"/>
  <c r="D175" i="6"/>
  <c r="C1304" i="9" s="1"/>
  <c r="D173" i="6"/>
  <c r="C1302" i="9" s="1"/>
  <c r="D172" i="6"/>
  <c r="C1301" i="9" s="1"/>
  <c r="D171" i="6"/>
  <c r="C1300" i="9" s="1"/>
  <c r="D170" i="6"/>
  <c r="C1299" i="9" s="1"/>
  <c r="D169" i="6"/>
  <c r="C1298" i="9" s="1"/>
  <c r="D168" i="6"/>
  <c r="C1297" i="9" s="1"/>
  <c r="D167" i="6"/>
  <c r="C1296" i="9" s="1"/>
  <c r="D166" i="6"/>
  <c r="C1295" i="9" s="1"/>
  <c r="D165" i="6"/>
  <c r="C1294" i="9" s="1"/>
  <c r="D164" i="6"/>
  <c r="C1293" i="9" s="1"/>
  <c r="D163" i="6"/>
  <c r="C1292" i="9" s="1"/>
  <c r="D162" i="6"/>
  <c r="C1291" i="9" s="1"/>
  <c r="D161" i="6"/>
  <c r="C1290" i="9" s="1"/>
  <c r="D160" i="6"/>
  <c r="C1289" i="9" s="1"/>
  <c r="D159" i="6"/>
  <c r="C1288" i="9" s="1"/>
  <c r="D158" i="6"/>
  <c r="C1287" i="9" s="1"/>
  <c r="D157" i="6"/>
  <c r="C1286" i="9" s="1"/>
  <c r="D156" i="6"/>
  <c r="C1285" i="9" s="1"/>
  <c r="D155" i="6"/>
  <c r="C1284" i="9" s="1"/>
  <c r="D154" i="6"/>
  <c r="C1283" i="9" s="1"/>
  <c r="D153" i="6"/>
  <c r="C1282" i="9" s="1"/>
  <c r="D152" i="6"/>
  <c r="C1281" i="9" s="1"/>
  <c r="D151" i="6"/>
  <c r="C1280" i="9" s="1"/>
  <c r="D149" i="6"/>
  <c r="C1278" i="9" s="1"/>
  <c r="D148" i="6"/>
  <c r="C1277" i="9" s="1"/>
  <c r="D147" i="6"/>
  <c r="C1276" i="9" s="1"/>
  <c r="D146" i="6"/>
  <c r="C1275" i="9" s="1"/>
  <c r="D145" i="6"/>
  <c r="C1274" i="9" s="1"/>
  <c r="D144" i="6"/>
  <c r="C1273" i="9" s="1"/>
  <c r="D143" i="6"/>
  <c r="C1272" i="9" s="1"/>
  <c r="D142" i="6"/>
  <c r="C1271" i="9" s="1"/>
  <c r="D141" i="6"/>
  <c r="C1270" i="9" s="1"/>
  <c r="D140" i="6"/>
  <c r="C1269" i="9" s="1"/>
  <c r="D139" i="6"/>
  <c r="C1268" i="9" s="1"/>
  <c r="D138" i="6"/>
  <c r="C1267" i="9" s="1"/>
  <c r="D137" i="6"/>
  <c r="C1266" i="9" s="1"/>
  <c r="D136" i="6"/>
  <c r="C1265" i="9" s="1"/>
  <c r="D135" i="6"/>
  <c r="C1264" i="9" s="1"/>
  <c r="D134" i="6"/>
  <c r="C1263" i="9" s="1"/>
  <c r="D133" i="6"/>
  <c r="C1262" i="9" s="1"/>
  <c r="D132" i="6"/>
  <c r="C1261" i="9" s="1"/>
  <c r="D131" i="6"/>
  <c r="C1260" i="9" s="1"/>
  <c r="D130" i="6"/>
  <c r="C1259" i="9" s="1"/>
  <c r="D129" i="6"/>
  <c r="C1258" i="9" s="1"/>
  <c r="D128" i="6"/>
  <c r="C1257" i="9" s="1"/>
  <c r="D127" i="6"/>
  <c r="C1256" i="9" s="1"/>
  <c r="D125" i="6"/>
  <c r="C1254" i="9" s="1"/>
  <c r="D124" i="6"/>
  <c r="C1253" i="9" s="1"/>
  <c r="D123" i="6"/>
  <c r="C1252" i="9" s="1"/>
  <c r="D122" i="6"/>
  <c r="C1251" i="9" s="1"/>
  <c r="D121" i="6"/>
  <c r="C1250" i="9" s="1"/>
  <c r="D120" i="6"/>
  <c r="C1249" i="9" s="1"/>
  <c r="D119" i="6"/>
  <c r="C1248" i="9" s="1"/>
  <c r="D118" i="6"/>
  <c r="C1247" i="9" s="1"/>
  <c r="D117" i="6"/>
  <c r="C1246" i="9" s="1"/>
  <c r="D116" i="6"/>
  <c r="C1245" i="9" s="1"/>
  <c r="D115" i="6"/>
  <c r="C1244" i="9" s="1"/>
  <c r="D114" i="6"/>
  <c r="C1243" i="9" s="1"/>
  <c r="D113" i="6"/>
  <c r="C1242" i="9" s="1"/>
  <c r="D112" i="6"/>
  <c r="C1241" i="9" s="1"/>
  <c r="D111" i="6"/>
  <c r="C1240" i="9" s="1"/>
  <c r="D110" i="6"/>
  <c r="C1239" i="9" s="1"/>
  <c r="D109" i="6"/>
  <c r="C1238" i="9" s="1"/>
  <c r="D108" i="6"/>
  <c r="C1237" i="9" s="1"/>
  <c r="D107" i="6"/>
  <c r="C1236" i="9" s="1"/>
  <c r="D106" i="6"/>
  <c r="C1235" i="9" s="1"/>
  <c r="D105" i="6"/>
  <c r="C1234" i="9" s="1"/>
  <c r="D104" i="6"/>
  <c r="C1233" i="9" s="1"/>
  <c r="D103" i="6"/>
  <c r="C1232" i="9" s="1"/>
  <c r="D101" i="6"/>
  <c r="C1230" i="9" s="1"/>
  <c r="D100" i="6"/>
  <c r="C1229" i="9" s="1"/>
  <c r="D99" i="6"/>
  <c r="C1228" i="9" s="1"/>
  <c r="D98" i="6"/>
  <c r="C1227" i="9" s="1"/>
  <c r="D97" i="6"/>
  <c r="C1226" i="9" s="1"/>
  <c r="D96" i="6"/>
  <c r="C1225" i="9" s="1"/>
  <c r="D95" i="6"/>
  <c r="C1224" i="9" s="1"/>
  <c r="D94" i="6"/>
  <c r="C1223" i="9" s="1"/>
  <c r="D93" i="6"/>
  <c r="C1222" i="9" s="1"/>
  <c r="D92" i="6"/>
  <c r="C1221" i="9" s="1"/>
  <c r="D91" i="6"/>
  <c r="C1220" i="9" s="1"/>
  <c r="D90" i="6"/>
  <c r="C1219" i="9" s="1"/>
  <c r="D89" i="6"/>
  <c r="C1218" i="9" s="1"/>
  <c r="D88" i="6"/>
  <c r="C1217" i="9" s="1"/>
  <c r="D87" i="6"/>
  <c r="C1216" i="9" s="1"/>
  <c r="D86" i="6"/>
  <c r="C1215" i="9" s="1"/>
  <c r="D85" i="6"/>
  <c r="C1214" i="9" s="1"/>
  <c r="D84" i="6"/>
  <c r="C1213" i="9" s="1"/>
  <c r="D83" i="6"/>
  <c r="C1212" i="9" s="1"/>
  <c r="D82" i="6"/>
  <c r="C1211" i="9" s="1"/>
  <c r="D81" i="6"/>
  <c r="C1210" i="9" s="1"/>
  <c r="D80" i="6"/>
  <c r="C1209" i="9" s="1"/>
  <c r="D79" i="6"/>
  <c r="C1208" i="9" s="1"/>
  <c r="D77" i="6"/>
  <c r="C1206" i="9" s="1"/>
  <c r="D76" i="6"/>
  <c r="C1205" i="9" s="1"/>
  <c r="D75" i="6"/>
  <c r="C1204" i="9" s="1"/>
  <c r="D74" i="6"/>
  <c r="C1203" i="9" s="1"/>
  <c r="D73" i="6"/>
  <c r="C1202" i="9" s="1"/>
  <c r="D72" i="6"/>
  <c r="C1201" i="9" s="1"/>
  <c r="D71" i="6"/>
  <c r="C1200" i="9" s="1"/>
  <c r="D70" i="6"/>
  <c r="C1199" i="9" s="1"/>
  <c r="D69" i="6"/>
  <c r="C1198" i="9" s="1"/>
  <c r="D68" i="6"/>
  <c r="C1197" i="9" s="1"/>
  <c r="D67" i="6"/>
  <c r="C1196" i="9" s="1"/>
  <c r="D66" i="6"/>
  <c r="C1195" i="9" s="1"/>
  <c r="D65" i="6"/>
  <c r="C1194" i="9" s="1"/>
  <c r="D64" i="6"/>
  <c r="C1193" i="9" s="1"/>
  <c r="D63" i="6"/>
  <c r="C1192" i="9" s="1"/>
  <c r="D62" i="6"/>
  <c r="C1191" i="9" s="1"/>
  <c r="D61" i="6"/>
  <c r="C1190" i="9" s="1"/>
  <c r="D60" i="6"/>
  <c r="C1189" i="9" s="1"/>
  <c r="D59" i="6"/>
  <c r="C1188" i="9" s="1"/>
  <c r="D58" i="6"/>
  <c r="C1187" i="9" s="1"/>
  <c r="D57" i="6"/>
  <c r="C1186" i="9" s="1"/>
  <c r="D56" i="6"/>
  <c r="C1185" i="9" s="1"/>
  <c r="D55" i="6"/>
  <c r="C1184" i="9" s="1"/>
  <c r="D53" i="6"/>
  <c r="C1182" i="9" s="1"/>
  <c r="D52" i="6"/>
  <c r="C1181" i="9" s="1"/>
  <c r="D51" i="6"/>
  <c r="C1180" i="9" s="1"/>
  <c r="D50" i="6"/>
  <c r="C1179" i="9" s="1"/>
  <c r="D49" i="6"/>
  <c r="C1178" i="9" s="1"/>
  <c r="D48" i="6"/>
  <c r="C1177" i="9" s="1"/>
  <c r="D47" i="6"/>
  <c r="C1176" i="9" s="1"/>
  <c r="D46" i="6"/>
  <c r="C1175" i="9" s="1"/>
  <c r="D45" i="6"/>
  <c r="C1174" i="9" s="1"/>
  <c r="D44" i="6"/>
  <c r="C1173" i="9" s="1"/>
  <c r="D43" i="6"/>
  <c r="C1172" i="9" s="1"/>
  <c r="D42" i="6"/>
  <c r="C1171" i="9" s="1"/>
  <c r="D41" i="6"/>
  <c r="C1170" i="9" s="1"/>
  <c r="D40" i="6"/>
  <c r="C1169" i="9" s="1"/>
  <c r="D39" i="6"/>
  <c r="C1168" i="9" s="1"/>
  <c r="D38" i="6"/>
  <c r="C1167" i="9" s="1"/>
  <c r="D37" i="6"/>
  <c r="C1166" i="9" s="1"/>
  <c r="D36" i="6"/>
  <c r="C1165" i="9" s="1"/>
  <c r="D35" i="6"/>
  <c r="C1164" i="9" s="1"/>
  <c r="D34" i="6"/>
  <c r="C1163" i="9" s="1"/>
  <c r="D33" i="6"/>
  <c r="C1162" i="9" s="1"/>
  <c r="D32" i="6"/>
  <c r="C1161" i="9" s="1"/>
  <c r="D31" i="6"/>
  <c r="C1160" i="9" s="1"/>
  <c r="D29" i="6"/>
  <c r="C1158" i="9" s="1"/>
  <c r="D28" i="6"/>
  <c r="C1157" i="9" s="1"/>
  <c r="D27" i="6"/>
  <c r="C1156" i="9" s="1"/>
  <c r="D26" i="6"/>
  <c r="C1155" i="9" s="1"/>
  <c r="D25" i="6"/>
  <c r="C1154" i="9" s="1"/>
  <c r="D24" i="6"/>
  <c r="C1153" i="9" s="1"/>
  <c r="D23" i="6"/>
  <c r="C1152" i="9" s="1"/>
  <c r="D22" i="6"/>
  <c r="C1151" i="9" s="1"/>
  <c r="D21" i="6"/>
  <c r="C1150" i="9" s="1"/>
  <c r="D20" i="6"/>
  <c r="C1149" i="9" s="1"/>
  <c r="D19" i="6"/>
  <c r="C1148" i="9" s="1"/>
  <c r="D18" i="6"/>
  <c r="C1147" i="9" s="1"/>
  <c r="D17" i="6"/>
  <c r="C1146" i="9" s="1"/>
  <c r="D16" i="6"/>
  <c r="C1145" i="9" s="1"/>
  <c r="D15" i="6"/>
  <c r="C1144" i="9" s="1"/>
  <c r="D14" i="6"/>
  <c r="C1143" i="9" s="1"/>
  <c r="D13" i="6"/>
  <c r="C1142" i="9" s="1"/>
  <c r="D12" i="6"/>
  <c r="C1141" i="9" s="1"/>
  <c r="D11" i="6"/>
  <c r="C1140" i="9" s="1"/>
  <c r="D10" i="6"/>
  <c r="C1139" i="9" s="1"/>
  <c r="D9" i="6"/>
  <c r="C1138" i="9" s="1"/>
  <c r="D8" i="6"/>
  <c r="C1137" i="9" s="1"/>
  <c r="D7" i="6"/>
  <c r="C1136" i="9" s="1"/>
  <c r="D5" i="6"/>
  <c r="C1134" i="9" s="1"/>
  <c r="D4" i="6"/>
  <c r="C1133" i="9" s="1"/>
  <c r="D3" i="6"/>
  <c r="C1132" i="9" s="1"/>
  <c r="D2" i="6"/>
  <c r="D1" i="6"/>
  <c r="D1048574" i="6"/>
  <c r="A1014" i="6" s="1"/>
  <c r="D1014" i="6" s="1"/>
  <c r="C2143" i="9" s="1"/>
  <c r="B1048574" i="6"/>
  <c r="A1038" i="6" s="1"/>
  <c r="D1038" i="6" s="1"/>
  <c r="C2167" i="9" s="1"/>
  <c r="A1048574" i="6"/>
  <c r="A78" i="6" s="1"/>
  <c r="D78" i="6" s="1"/>
  <c r="C1207" i="9" s="1"/>
  <c r="A251" i="5"/>
  <c r="I251" i="5" s="1"/>
  <c r="C474" i="9" s="1"/>
  <c r="A240" i="5"/>
  <c r="I240" i="5" s="1"/>
  <c r="C463" i="9" s="1"/>
  <c r="I6" i="5"/>
  <c r="C229" i="9" s="1"/>
  <c r="I2" i="5"/>
  <c r="C225" i="9" s="1"/>
  <c r="I3" i="5"/>
  <c r="C226" i="9" s="1"/>
  <c r="I4" i="5"/>
  <c r="C227" i="9" s="1"/>
  <c r="I5" i="5"/>
  <c r="C228" i="9" s="1"/>
  <c r="I7" i="5"/>
  <c r="C230" i="9" s="1"/>
  <c r="I8" i="5"/>
  <c r="C231" i="9" s="1"/>
  <c r="I9" i="5"/>
  <c r="C232" i="9" s="1"/>
  <c r="I10" i="5"/>
  <c r="C233" i="9" s="1"/>
  <c r="I11" i="5"/>
  <c r="C234" i="9" s="1"/>
  <c r="I12" i="5"/>
  <c r="C235" i="9" s="1"/>
  <c r="I13" i="5"/>
  <c r="C236" i="9" s="1"/>
  <c r="I14" i="5"/>
  <c r="C237" i="9" s="1"/>
  <c r="I15" i="5"/>
  <c r="C238" i="9" s="1"/>
  <c r="I16" i="5"/>
  <c r="C239" i="9" s="1"/>
  <c r="I17" i="5"/>
  <c r="C240" i="9" s="1"/>
  <c r="I18" i="5"/>
  <c r="C241" i="9" s="1"/>
  <c r="I19" i="5"/>
  <c r="C242" i="9" s="1"/>
  <c r="I20" i="5"/>
  <c r="C243" i="9" s="1"/>
  <c r="I21" i="5"/>
  <c r="C244" i="9" s="1"/>
  <c r="I22" i="5"/>
  <c r="C245" i="9" s="1"/>
  <c r="I23" i="5"/>
  <c r="C246" i="9" s="1"/>
  <c r="I24" i="5"/>
  <c r="C247" i="9" s="1"/>
  <c r="I25" i="5"/>
  <c r="C248" i="9" s="1"/>
  <c r="I26" i="5"/>
  <c r="C249" i="9" s="1"/>
  <c r="I27" i="5"/>
  <c r="C250" i="9" s="1"/>
  <c r="I28" i="5"/>
  <c r="C251" i="9" s="1"/>
  <c r="I29" i="5"/>
  <c r="C252" i="9" s="1"/>
  <c r="I30" i="5"/>
  <c r="C253" i="9" s="1"/>
  <c r="I31" i="5"/>
  <c r="C254" i="9" s="1"/>
  <c r="I32" i="5"/>
  <c r="C255" i="9" s="1"/>
  <c r="I33" i="5"/>
  <c r="C256" i="9" s="1"/>
  <c r="I34" i="5"/>
  <c r="C257" i="9" s="1"/>
  <c r="I35" i="5"/>
  <c r="C258" i="9" s="1"/>
  <c r="I36" i="5"/>
  <c r="C259" i="9" s="1"/>
  <c r="I37" i="5"/>
  <c r="C260" i="9" s="1"/>
  <c r="I38" i="5"/>
  <c r="C261" i="9" s="1"/>
  <c r="I39" i="5"/>
  <c r="C262" i="9" s="1"/>
  <c r="I40" i="5"/>
  <c r="C263" i="9" s="1"/>
  <c r="I41" i="5"/>
  <c r="C264" i="9" s="1"/>
  <c r="I42" i="5"/>
  <c r="C265" i="9" s="1"/>
  <c r="I43" i="5"/>
  <c r="C266" i="9" s="1"/>
  <c r="I44" i="5"/>
  <c r="C267" i="9" s="1"/>
  <c r="I45" i="5"/>
  <c r="C268" i="9" s="1"/>
  <c r="I46" i="5"/>
  <c r="C269" i="9" s="1"/>
  <c r="I47" i="5"/>
  <c r="C270" i="9" s="1"/>
  <c r="I48" i="5"/>
  <c r="C271" i="9" s="1"/>
  <c r="I49" i="5"/>
  <c r="C272" i="9" s="1"/>
  <c r="I50" i="5"/>
  <c r="C273" i="9" s="1"/>
  <c r="I51" i="5"/>
  <c r="C274" i="9" s="1"/>
  <c r="I52" i="5"/>
  <c r="C275" i="9" s="1"/>
  <c r="I53" i="5"/>
  <c r="C276" i="9" s="1"/>
  <c r="I54" i="5"/>
  <c r="C277" i="9" s="1"/>
  <c r="I55" i="5"/>
  <c r="C278" i="9" s="1"/>
  <c r="I56" i="5"/>
  <c r="C279" i="9" s="1"/>
  <c r="I57" i="5"/>
  <c r="C280" i="9" s="1"/>
  <c r="I58" i="5"/>
  <c r="C281" i="9" s="1"/>
  <c r="I59" i="5"/>
  <c r="C282" i="9" s="1"/>
  <c r="I60" i="5"/>
  <c r="C283" i="9" s="1"/>
  <c r="I61" i="5"/>
  <c r="C284" i="9" s="1"/>
  <c r="I62" i="5"/>
  <c r="C285" i="9" s="1"/>
  <c r="I63" i="5"/>
  <c r="C286" i="9" s="1"/>
  <c r="I64" i="5"/>
  <c r="C287" i="9" s="1"/>
  <c r="I65" i="5"/>
  <c r="C288" i="9" s="1"/>
  <c r="I66" i="5"/>
  <c r="C289" i="9" s="1"/>
  <c r="I67" i="5"/>
  <c r="C290" i="9" s="1"/>
  <c r="I68" i="5"/>
  <c r="C291" i="9" s="1"/>
  <c r="I69" i="5"/>
  <c r="C292" i="9" s="1"/>
  <c r="I70" i="5"/>
  <c r="C293" i="9" s="1"/>
  <c r="I71" i="5"/>
  <c r="C294" i="9" s="1"/>
  <c r="I72" i="5"/>
  <c r="C295" i="9" s="1"/>
  <c r="I73" i="5"/>
  <c r="C296" i="9" s="1"/>
  <c r="I74" i="5"/>
  <c r="C297" i="9" s="1"/>
  <c r="I75" i="5"/>
  <c r="C298" i="9" s="1"/>
  <c r="I76" i="5"/>
  <c r="C299" i="9" s="1"/>
  <c r="I77" i="5"/>
  <c r="C300" i="9" s="1"/>
  <c r="I78" i="5"/>
  <c r="C301" i="9" s="1"/>
  <c r="I79" i="5"/>
  <c r="C302" i="9" s="1"/>
  <c r="I80" i="5"/>
  <c r="C303" i="9" s="1"/>
  <c r="I81" i="5"/>
  <c r="C304" i="9" s="1"/>
  <c r="I82" i="5"/>
  <c r="C305" i="9" s="1"/>
  <c r="I83" i="5"/>
  <c r="C306" i="9" s="1"/>
  <c r="I84" i="5"/>
  <c r="C307" i="9" s="1"/>
  <c r="I85" i="5"/>
  <c r="C308" i="9" s="1"/>
  <c r="I86" i="5"/>
  <c r="C309" i="9" s="1"/>
  <c r="I87" i="5"/>
  <c r="C310" i="9" s="1"/>
  <c r="I88" i="5"/>
  <c r="C311" i="9" s="1"/>
  <c r="I89" i="5"/>
  <c r="C312" i="9" s="1"/>
  <c r="I90" i="5"/>
  <c r="C313" i="9" s="1"/>
  <c r="I91" i="5"/>
  <c r="C314" i="9" s="1"/>
  <c r="I92" i="5"/>
  <c r="C315" i="9" s="1"/>
  <c r="I93" i="5"/>
  <c r="C316" i="9" s="1"/>
  <c r="I94" i="5"/>
  <c r="C317" i="9" s="1"/>
  <c r="I95" i="5"/>
  <c r="C318" i="9" s="1"/>
  <c r="I96" i="5"/>
  <c r="C319" i="9" s="1"/>
  <c r="I97" i="5"/>
  <c r="C320" i="9" s="1"/>
  <c r="I98" i="5"/>
  <c r="C321" i="9" s="1"/>
  <c r="I99" i="5"/>
  <c r="C322" i="9" s="1"/>
  <c r="I100" i="5"/>
  <c r="C323" i="9" s="1"/>
  <c r="I101" i="5"/>
  <c r="C324" i="9" s="1"/>
  <c r="I102" i="5"/>
  <c r="C325" i="9" s="1"/>
  <c r="I103" i="5"/>
  <c r="C326" i="9" s="1"/>
  <c r="I104" i="5"/>
  <c r="C327" i="9" s="1"/>
  <c r="I105" i="5"/>
  <c r="C328" i="9" s="1"/>
  <c r="I106" i="5"/>
  <c r="C329" i="9" s="1"/>
  <c r="I107" i="5"/>
  <c r="C330" i="9" s="1"/>
  <c r="I108" i="5"/>
  <c r="C331" i="9" s="1"/>
  <c r="I109" i="5"/>
  <c r="C332" i="9" s="1"/>
  <c r="I110" i="5"/>
  <c r="C333" i="9" s="1"/>
  <c r="I111" i="5"/>
  <c r="C334" i="9" s="1"/>
  <c r="I112" i="5"/>
  <c r="C335" i="9" s="1"/>
  <c r="I113" i="5"/>
  <c r="C336" i="9" s="1"/>
  <c r="I114" i="5"/>
  <c r="C337" i="9" s="1"/>
  <c r="I115" i="5"/>
  <c r="C338" i="9" s="1"/>
  <c r="I116" i="5"/>
  <c r="C339" i="9" s="1"/>
  <c r="I117" i="5"/>
  <c r="C340" i="9" s="1"/>
  <c r="I118" i="5"/>
  <c r="C341" i="9" s="1"/>
  <c r="I119" i="5"/>
  <c r="C342" i="9" s="1"/>
  <c r="I120" i="5"/>
  <c r="C343" i="9" s="1"/>
  <c r="I121" i="5"/>
  <c r="C344" i="9" s="1"/>
  <c r="I122" i="5"/>
  <c r="C345" i="9" s="1"/>
  <c r="I123" i="5"/>
  <c r="C346" i="9" s="1"/>
  <c r="I124" i="5"/>
  <c r="C347" i="9" s="1"/>
  <c r="I125" i="5"/>
  <c r="C348" i="9" s="1"/>
  <c r="I126" i="5"/>
  <c r="C349" i="9" s="1"/>
  <c r="I127" i="5"/>
  <c r="C350" i="9" s="1"/>
  <c r="I128" i="5"/>
  <c r="C351" i="9" s="1"/>
  <c r="I129" i="5"/>
  <c r="C352" i="9" s="1"/>
  <c r="I130" i="5"/>
  <c r="C353" i="9" s="1"/>
  <c r="I131" i="5"/>
  <c r="C354" i="9" s="1"/>
  <c r="I132" i="5"/>
  <c r="C355" i="9" s="1"/>
  <c r="I133" i="5"/>
  <c r="C356" i="9" s="1"/>
  <c r="I134" i="5"/>
  <c r="C357" i="9" s="1"/>
  <c r="I135" i="5"/>
  <c r="C358" i="9" s="1"/>
  <c r="I136" i="5"/>
  <c r="C359" i="9" s="1"/>
  <c r="I137" i="5"/>
  <c r="C360" i="9" s="1"/>
  <c r="I138" i="5"/>
  <c r="C361" i="9" s="1"/>
  <c r="I139" i="5"/>
  <c r="C362" i="9" s="1"/>
  <c r="I140" i="5"/>
  <c r="C363" i="9" s="1"/>
  <c r="I141" i="5"/>
  <c r="C364" i="9" s="1"/>
  <c r="I142" i="5"/>
  <c r="C365" i="9" s="1"/>
  <c r="I143" i="5"/>
  <c r="C366" i="9" s="1"/>
  <c r="I144" i="5"/>
  <c r="C367" i="9" s="1"/>
  <c r="I145" i="5"/>
  <c r="C368" i="9" s="1"/>
  <c r="I146" i="5"/>
  <c r="C369" i="9" s="1"/>
  <c r="I147" i="5"/>
  <c r="C370" i="9" s="1"/>
  <c r="I148" i="5"/>
  <c r="C371" i="9" s="1"/>
  <c r="I149" i="5"/>
  <c r="C372" i="9" s="1"/>
  <c r="I150" i="5"/>
  <c r="C373" i="9" s="1"/>
  <c r="I151" i="5"/>
  <c r="C374" i="9" s="1"/>
  <c r="I152" i="5"/>
  <c r="C375" i="9" s="1"/>
  <c r="I153" i="5"/>
  <c r="C376" i="9" s="1"/>
  <c r="I154" i="5"/>
  <c r="C377" i="9" s="1"/>
  <c r="I155" i="5"/>
  <c r="C378" i="9" s="1"/>
  <c r="I156" i="5"/>
  <c r="C379" i="9" s="1"/>
  <c r="I157" i="5"/>
  <c r="C380" i="9" s="1"/>
  <c r="I158" i="5"/>
  <c r="C381" i="9" s="1"/>
  <c r="I159" i="5"/>
  <c r="C382" i="9" s="1"/>
  <c r="I160" i="5"/>
  <c r="C383" i="9" s="1"/>
  <c r="I161" i="5"/>
  <c r="C384" i="9" s="1"/>
  <c r="I162" i="5"/>
  <c r="C385" i="9" s="1"/>
  <c r="I163" i="5"/>
  <c r="C386" i="9" s="1"/>
  <c r="I164" i="5"/>
  <c r="C387" i="9" s="1"/>
  <c r="I165" i="5"/>
  <c r="C388" i="9" s="1"/>
  <c r="I166" i="5"/>
  <c r="C389" i="9" s="1"/>
  <c r="I167" i="5"/>
  <c r="C390" i="9" s="1"/>
  <c r="I168" i="5"/>
  <c r="C391" i="9" s="1"/>
  <c r="I169" i="5"/>
  <c r="C392" i="9" s="1"/>
  <c r="I170" i="5"/>
  <c r="C393" i="9" s="1"/>
  <c r="I171" i="5"/>
  <c r="C394" i="9" s="1"/>
  <c r="I172" i="5"/>
  <c r="C395" i="9" s="1"/>
  <c r="I173" i="5"/>
  <c r="C396" i="9" s="1"/>
  <c r="I174" i="5"/>
  <c r="C397" i="9" s="1"/>
  <c r="I175" i="5"/>
  <c r="C398" i="9" s="1"/>
  <c r="I176" i="5"/>
  <c r="C399" i="9" s="1"/>
  <c r="I177" i="5"/>
  <c r="C400" i="9" s="1"/>
  <c r="I178" i="5"/>
  <c r="C401" i="9" s="1"/>
  <c r="I179" i="5"/>
  <c r="C402" i="9" s="1"/>
  <c r="I180" i="5"/>
  <c r="C403" i="9" s="1"/>
  <c r="I181" i="5"/>
  <c r="C404" i="9" s="1"/>
  <c r="I182" i="5"/>
  <c r="C405" i="9" s="1"/>
  <c r="I183" i="5"/>
  <c r="C406" i="9" s="1"/>
  <c r="I184" i="5"/>
  <c r="C407" i="9" s="1"/>
  <c r="I185" i="5"/>
  <c r="C408" i="9" s="1"/>
  <c r="I186" i="5"/>
  <c r="C409" i="9" s="1"/>
  <c r="I187" i="5"/>
  <c r="C410" i="9" s="1"/>
  <c r="I188" i="5"/>
  <c r="C411" i="9" s="1"/>
  <c r="I189" i="5"/>
  <c r="C412" i="9" s="1"/>
  <c r="I190" i="5"/>
  <c r="C413" i="9" s="1"/>
  <c r="I191" i="5"/>
  <c r="C414" i="9" s="1"/>
  <c r="I192" i="5"/>
  <c r="C415" i="9" s="1"/>
  <c r="I193" i="5"/>
  <c r="C416" i="9" s="1"/>
  <c r="I194" i="5"/>
  <c r="C417" i="9" s="1"/>
  <c r="I195" i="5"/>
  <c r="C418" i="9" s="1"/>
  <c r="I196" i="5"/>
  <c r="C419" i="9" s="1"/>
  <c r="I197" i="5"/>
  <c r="C420" i="9" s="1"/>
  <c r="I198" i="5"/>
  <c r="C421" i="9" s="1"/>
  <c r="I199" i="5"/>
  <c r="C422" i="9" s="1"/>
  <c r="I200" i="5"/>
  <c r="C423" i="9" s="1"/>
  <c r="I201" i="5"/>
  <c r="C424" i="9" s="1"/>
  <c r="I202" i="5"/>
  <c r="C425" i="9" s="1"/>
  <c r="I203" i="5"/>
  <c r="C426" i="9" s="1"/>
  <c r="I204" i="5"/>
  <c r="C427" i="9" s="1"/>
  <c r="I205" i="5"/>
  <c r="C428" i="9" s="1"/>
  <c r="I206" i="5"/>
  <c r="C429" i="9" s="1"/>
  <c r="I207" i="5"/>
  <c r="C430" i="9" s="1"/>
  <c r="I208" i="5"/>
  <c r="C431" i="9" s="1"/>
  <c r="I209" i="5"/>
  <c r="C432" i="9" s="1"/>
  <c r="I210" i="5"/>
  <c r="C433" i="9" s="1"/>
  <c r="I211" i="5"/>
  <c r="C434" i="9" s="1"/>
  <c r="I212" i="5"/>
  <c r="C435" i="9" s="1"/>
  <c r="I213" i="5"/>
  <c r="C436" i="9" s="1"/>
  <c r="I214" i="5"/>
  <c r="C437" i="9" s="1"/>
  <c r="I215" i="5"/>
  <c r="C438" i="9" s="1"/>
  <c r="I216" i="5"/>
  <c r="C439" i="9" s="1"/>
  <c r="I217" i="5"/>
  <c r="C440" i="9" s="1"/>
  <c r="I218" i="5"/>
  <c r="C441" i="9" s="1"/>
  <c r="I219" i="5"/>
  <c r="C442" i="9" s="1"/>
  <c r="I220" i="5"/>
  <c r="C443" i="9" s="1"/>
  <c r="I221" i="5"/>
  <c r="C444" i="9" s="1"/>
  <c r="I222" i="5"/>
  <c r="C445" i="9" s="1"/>
  <c r="I223" i="5"/>
  <c r="C446" i="9" s="1"/>
  <c r="I224" i="5"/>
  <c r="C447" i="9" s="1"/>
  <c r="I225" i="5"/>
  <c r="C448" i="9" s="1"/>
  <c r="I226" i="5"/>
  <c r="C449" i="9" s="1"/>
  <c r="I227" i="5"/>
  <c r="C450" i="9" s="1"/>
  <c r="I228" i="5"/>
  <c r="C451" i="9" s="1"/>
  <c r="I229" i="5"/>
  <c r="C452" i="9" s="1"/>
  <c r="I230" i="5"/>
  <c r="C453" i="9" s="1"/>
  <c r="I231" i="5"/>
  <c r="C454" i="9" s="1"/>
  <c r="I232" i="5"/>
  <c r="C455" i="9" s="1"/>
  <c r="I233" i="5"/>
  <c r="C456" i="9" s="1"/>
  <c r="I234" i="5"/>
  <c r="C457" i="9" s="1"/>
  <c r="I235" i="5"/>
  <c r="C458" i="9" s="1"/>
  <c r="I236" i="5"/>
  <c r="C459" i="9" s="1"/>
  <c r="I237" i="5"/>
  <c r="C460" i="9" s="1"/>
  <c r="I238" i="5"/>
  <c r="C461" i="9" s="1"/>
  <c r="I239" i="5"/>
  <c r="C462" i="9" s="1"/>
  <c r="I241" i="5"/>
  <c r="C464" i="9" s="1"/>
  <c r="I242" i="5"/>
  <c r="C465" i="9" s="1"/>
  <c r="I243" i="5"/>
  <c r="C466" i="9" s="1"/>
  <c r="I244" i="5"/>
  <c r="C467" i="9" s="1"/>
  <c r="I245" i="5"/>
  <c r="C468" i="9" s="1"/>
  <c r="I246" i="5"/>
  <c r="C469" i="9" s="1"/>
  <c r="I247" i="5"/>
  <c r="C470" i="9" s="1"/>
  <c r="I248" i="5"/>
  <c r="C471" i="9" s="1"/>
  <c r="I249" i="5"/>
  <c r="C472" i="9" s="1"/>
  <c r="I250" i="5"/>
  <c r="C473" i="9" s="1"/>
  <c r="I252" i="5"/>
  <c r="C475" i="9" s="1"/>
  <c r="I253" i="5"/>
  <c r="C476" i="9" s="1"/>
  <c r="I254" i="5"/>
  <c r="C477" i="9" s="1"/>
  <c r="I255" i="5"/>
  <c r="C478" i="9" s="1"/>
  <c r="I256" i="5"/>
  <c r="C479" i="9" s="1"/>
  <c r="I257" i="5"/>
  <c r="C480" i="9" s="1"/>
  <c r="I258" i="5"/>
  <c r="C481" i="9" s="1"/>
  <c r="I259" i="5"/>
  <c r="C482" i="9" s="1"/>
  <c r="I260" i="5"/>
  <c r="C483" i="9" s="1"/>
  <c r="I261" i="5"/>
  <c r="C484" i="9" s="1"/>
  <c r="I262" i="5"/>
  <c r="C485" i="9" s="1"/>
  <c r="I263" i="5"/>
  <c r="C486" i="9" s="1"/>
  <c r="I264" i="5"/>
  <c r="C487" i="9" s="1"/>
  <c r="I265" i="5"/>
  <c r="C488" i="9" s="1"/>
  <c r="I266" i="5"/>
  <c r="C489" i="9" s="1"/>
  <c r="I267" i="5"/>
  <c r="C490" i="9" s="1"/>
  <c r="I268" i="5"/>
  <c r="C491" i="9" s="1"/>
  <c r="I269" i="5"/>
  <c r="C492" i="9" s="1"/>
  <c r="I270" i="5"/>
  <c r="C493" i="9" s="1"/>
  <c r="I271" i="5"/>
  <c r="C494" i="9" s="1"/>
  <c r="I272" i="5"/>
  <c r="C495" i="9" s="1"/>
  <c r="I273" i="5"/>
  <c r="C496" i="9" s="1"/>
  <c r="I274" i="5"/>
  <c r="C497" i="9" s="1"/>
  <c r="I275" i="5"/>
  <c r="C498" i="9" s="1"/>
  <c r="I276" i="5"/>
  <c r="C499" i="9" s="1"/>
  <c r="I277" i="5"/>
  <c r="C500" i="9" s="1"/>
  <c r="I278" i="5"/>
  <c r="C501" i="9" s="1"/>
  <c r="I279" i="5"/>
  <c r="C502" i="9" s="1"/>
  <c r="I280" i="5"/>
  <c r="C503" i="9" s="1"/>
  <c r="I281" i="5"/>
  <c r="C504" i="9" s="1"/>
  <c r="I282" i="5"/>
  <c r="C505" i="9" s="1"/>
  <c r="I283" i="5"/>
  <c r="C506" i="9" s="1"/>
  <c r="I284" i="5"/>
  <c r="C507" i="9" s="1"/>
  <c r="I285" i="5"/>
  <c r="C508" i="9" s="1"/>
  <c r="I286" i="5"/>
  <c r="C509" i="9" s="1"/>
  <c r="I287" i="5"/>
  <c r="C510" i="9" s="1"/>
  <c r="I288" i="5"/>
  <c r="C511" i="9" s="1"/>
  <c r="I289" i="5"/>
  <c r="C512" i="9" s="1"/>
  <c r="I290" i="5"/>
  <c r="C513" i="9" s="1"/>
  <c r="I291" i="5"/>
  <c r="C514" i="9" s="1"/>
  <c r="I292" i="5"/>
  <c r="C515" i="9" s="1"/>
  <c r="I293" i="5"/>
  <c r="C516" i="9" s="1"/>
  <c r="I294" i="5"/>
  <c r="C517" i="9" s="1"/>
  <c r="I295" i="5"/>
  <c r="C518" i="9" s="1"/>
  <c r="I296" i="5"/>
  <c r="C519" i="9" s="1"/>
  <c r="I297" i="5"/>
  <c r="C520" i="9" s="1"/>
  <c r="I298" i="5"/>
  <c r="C521" i="9" s="1"/>
  <c r="I299" i="5"/>
  <c r="C522" i="9" s="1"/>
  <c r="I300" i="5"/>
  <c r="C523" i="9" s="1"/>
  <c r="I301" i="5"/>
  <c r="C524" i="9" s="1"/>
  <c r="I302" i="5"/>
  <c r="C525" i="9" s="1"/>
  <c r="I303" i="5"/>
  <c r="C526" i="9" s="1"/>
  <c r="I304" i="5"/>
  <c r="C527" i="9" s="1"/>
  <c r="I305" i="5"/>
  <c r="C528" i="9" s="1"/>
  <c r="I306" i="5"/>
  <c r="C529" i="9" s="1"/>
  <c r="I307" i="5"/>
  <c r="C530" i="9" s="1"/>
  <c r="I308" i="5"/>
  <c r="C531" i="9" s="1"/>
  <c r="I309" i="5"/>
  <c r="C532" i="9" s="1"/>
  <c r="I310" i="5"/>
  <c r="C533" i="9" s="1"/>
  <c r="I311" i="5"/>
  <c r="C534" i="9" s="1"/>
  <c r="I312" i="5"/>
  <c r="C535" i="9" s="1"/>
  <c r="I313" i="5"/>
  <c r="C536" i="9" s="1"/>
  <c r="I314" i="5"/>
  <c r="C537" i="9" s="1"/>
  <c r="I315" i="5"/>
  <c r="C538" i="9" s="1"/>
  <c r="I316" i="5"/>
  <c r="C539" i="9" s="1"/>
  <c r="I317" i="5"/>
  <c r="C540" i="9" s="1"/>
  <c r="I318" i="5"/>
  <c r="C541" i="9" s="1"/>
  <c r="I319" i="5"/>
  <c r="C542" i="9" s="1"/>
  <c r="I320" i="5"/>
  <c r="C543" i="9" s="1"/>
  <c r="I321" i="5"/>
  <c r="C544" i="9" s="1"/>
  <c r="I322" i="5"/>
  <c r="C545" i="9" s="1"/>
  <c r="I323" i="5"/>
  <c r="C546" i="9" s="1"/>
  <c r="I324" i="5"/>
  <c r="C547" i="9" s="1"/>
  <c r="I325" i="5"/>
  <c r="C548" i="9" s="1"/>
  <c r="I326" i="5"/>
  <c r="C549" i="9" s="1"/>
  <c r="I327" i="5"/>
  <c r="C550" i="9" s="1"/>
  <c r="I328" i="5"/>
  <c r="C551" i="9" s="1"/>
  <c r="I329" i="5"/>
  <c r="C552" i="9" s="1"/>
  <c r="I330" i="5"/>
  <c r="C553" i="9" s="1"/>
  <c r="I331" i="5"/>
  <c r="C554" i="9" s="1"/>
  <c r="I332" i="5"/>
  <c r="C555" i="9" s="1"/>
  <c r="I333" i="5"/>
  <c r="C556" i="9" s="1"/>
  <c r="I334" i="5"/>
  <c r="C557" i="9" s="1"/>
  <c r="I335" i="5"/>
  <c r="C558" i="9" s="1"/>
  <c r="I336" i="5"/>
  <c r="C559" i="9" s="1"/>
  <c r="I337" i="5"/>
  <c r="C560" i="9" s="1"/>
  <c r="I338" i="5"/>
  <c r="C561" i="9" s="1"/>
  <c r="I339" i="5"/>
  <c r="C562" i="9" s="1"/>
  <c r="I340" i="5"/>
  <c r="C563" i="9" s="1"/>
  <c r="I341" i="5"/>
  <c r="C564" i="9" s="1"/>
  <c r="I342" i="5"/>
  <c r="C565" i="9" s="1"/>
  <c r="I343" i="5"/>
  <c r="C566" i="9" s="1"/>
  <c r="I344" i="5"/>
  <c r="C567" i="9" s="1"/>
  <c r="I345" i="5"/>
  <c r="C568" i="9" s="1"/>
  <c r="I346" i="5"/>
  <c r="C569" i="9" s="1"/>
  <c r="I347" i="5"/>
  <c r="C570" i="9" s="1"/>
  <c r="I348" i="5"/>
  <c r="C571" i="9" s="1"/>
  <c r="I349" i="5"/>
  <c r="C572" i="9" s="1"/>
  <c r="I350" i="5"/>
  <c r="C573" i="9" s="1"/>
  <c r="I351" i="5"/>
  <c r="C574" i="9" s="1"/>
  <c r="I352" i="5"/>
  <c r="C575" i="9" s="1"/>
  <c r="I353" i="5"/>
  <c r="C576" i="9" s="1"/>
  <c r="I354" i="5"/>
  <c r="C577" i="9" s="1"/>
  <c r="I355" i="5"/>
  <c r="C578" i="9" s="1"/>
  <c r="I356" i="5"/>
  <c r="C579" i="9" s="1"/>
  <c r="I357" i="5"/>
  <c r="C580" i="9" s="1"/>
  <c r="I358" i="5"/>
  <c r="C581" i="9" s="1"/>
  <c r="I359" i="5"/>
  <c r="C582" i="9" s="1"/>
  <c r="I360" i="5"/>
  <c r="C583" i="9" s="1"/>
  <c r="I361" i="5"/>
  <c r="C584" i="9" s="1"/>
  <c r="I362" i="5"/>
  <c r="C585" i="9" s="1"/>
  <c r="I363" i="5"/>
  <c r="C586" i="9" s="1"/>
  <c r="I364" i="5"/>
  <c r="H2" i="2"/>
  <c r="C26" i="9" s="1"/>
  <c r="H3" i="2"/>
  <c r="C27" i="9" s="1"/>
  <c r="H5" i="2"/>
  <c r="C29" i="9" s="1"/>
  <c r="H6" i="2"/>
  <c r="C30" i="9" s="1"/>
  <c r="H7" i="2"/>
  <c r="C31" i="9" s="1"/>
  <c r="H8" i="2"/>
  <c r="C32" i="9" s="1"/>
  <c r="H9" i="2"/>
  <c r="C33" i="9" s="1"/>
  <c r="H10" i="2"/>
  <c r="C34" i="9" s="1"/>
  <c r="A4" i="2"/>
  <c r="H4" i="2" s="1"/>
  <c r="C28" i="9" s="1"/>
  <c r="A852" i="6" l="1"/>
  <c r="D852" i="6" s="1"/>
  <c r="C1981" i="9" s="1"/>
  <c r="A1182" i="6"/>
  <c r="D1182" i="6" s="1"/>
  <c r="C2311" i="9" s="1"/>
  <c r="G14" i="1"/>
  <c r="A21" i="1" s="1"/>
  <c r="A786" i="6"/>
  <c r="D786" i="6" s="1"/>
  <c r="C1915" i="9" s="1"/>
  <c r="A948" i="6"/>
  <c r="D948" i="6" s="1"/>
  <c r="C2077" i="9" s="1"/>
  <c r="A1086" i="6"/>
  <c r="D1086" i="6" s="1"/>
  <c r="C2215" i="9" s="1"/>
  <c r="A444" i="6"/>
  <c r="D444" i="6" s="1"/>
  <c r="C1573" i="9" s="1"/>
  <c r="A588" i="6"/>
  <c r="D588" i="6" s="1"/>
  <c r="C1717" i="9" s="1"/>
  <c r="A612" i="6"/>
  <c r="D612" i="6" s="1"/>
  <c r="C1741" i="9" s="1"/>
  <c r="A810" i="6"/>
  <c r="D810" i="6" s="1"/>
  <c r="C1939" i="9" s="1"/>
  <c r="A1110" i="6"/>
  <c r="D1110" i="6" s="1"/>
  <c r="C2239" i="9" s="1"/>
  <c r="A468" i="6"/>
  <c r="D468" i="6" s="1"/>
  <c r="C1597" i="9" s="1"/>
  <c r="A969" i="6"/>
  <c r="D969" i="6" s="1"/>
  <c r="C2098" i="9" s="1"/>
  <c r="A492" i="6"/>
  <c r="D492" i="6" s="1"/>
  <c r="C1621" i="9" s="1"/>
  <c r="A636" i="6"/>
  <c r="D636" i="6" s="1"/>
  <c r="C1765" i="9" s="1"/>
  <c r="A831" i="6"/>
  <c r="D831" i="6" s="1"/>
  <c r="C1960" i="9" s="1"/>
  <c r="A993" i="6"/>
  <c r="D993" i="6" s="1"/>
  <c r="C2122" i="9" s="1"/>
  <c r="A1134" i="6"/>
  <c r="D1134" i="6" s="1"/>
  <c r="C2263" i="9" s="1"/>
  <c r="A420" i="6"/>
  <c r="D420" i="6" s="1"/>
  <c r="C1549" i="9" s="1"/>
  <c r="A516" i="6"/>
  <c r="D516" i="6" s="1"/>
  <c r="C1645" i="9" s="1"/>
  <c r="A660" i="6"/>
  <c r="D660" i="6" s="1"/>
  <c r="C1789" i="9" s="1"/>
  <c r="A924" i="6"/>
  <c r="D924" i="6" s="1"/>
  <c r="C2053" i="9" s="1"/>
  <c r="A1062" i="6"/>
  <c r="D1062" i="6" s="1"/>
  <c r="C2191" i="9" s="1"/>
  <c r="A1158" i="6"/>
  <c r="D1158" i="6" s="1"/>
  <c r="C2287" i="9" s="1"/>
  <c r="A396" i="6"/>
  <c r="D396" i="6" s="1"/>
  <c r="C1525" i="9" s="1"/>
  <c r="A126" i="6"/>
  <c r="D126" i="6" s="1"/>
  <c r="C1255" i="9" s="1"/>
  <c r="A756" i="6"/>
  <c r="D756" i="6" s="1"/>
  <c r="C1885" i="9" s="1"/>
  <c r="A276" i="6"/>
  <c r="D276" i="6" s="1"/>
  <c r="C1405" i="9" s="1"/>
  <c r="A564" i="6"/>
  <c r="D564" i="6" s="1"/>
  <c r="C1693" i="9" s="1"/>
  <c r="A876" i="6"/>
  <c r="D876" i="6" s="1"/>
  <c r="C2005" i="9" s="1"/>
  <c r="A708" i="6"/>
  <c r="D708" i="6" s="1"/>
  <c r="C1837" i="9" s="1"/>
  <c r="A900" i="6"/>
  <c r="D900" i="6" s="1"/>
  <c r="C2029" i="9" s="1"/>
  <c r="A252" i="6"/>
  <c r="D252" i="6" s="1"/>
  <c r="C1381" i="9" s="1"/>
  <c r="A732" i="6"/>
  <c r="D732" i="6" s="1"/>
  <c r="C1861" i="9" s="1"/>
  <c r="A300" i="6"/>
  <c r="D300" i="6" s="1"/>
  <c r="C1429" i="9" s="1"/>
  <c r="A6" i="6"/>
  <c r="D6" i="6" s="1"/>
  <c r="C1135" i="9" s="1"/>
  <c r="A174" i="6"/>
  <c r="D174" i="6" s="1"/>
  <c r="C1303" i="9" s="1"/>
  <c r="A324" i="6"/>
  <c r="D324" i="6" s="1"/>
  <c r="C1453" i="9" s="1"/>
  <c r="A150" i="6"/>
  <c r="D150" i="6" s="1"/>
  <c r="C1279" i="9" s="1"/>
  <c r="A102" i="6"/>
  <c r="D102" i="6" s="1"/>
  <c r="C1231" i="9" s="1"/>
  <c r="A198" i="6"/>
  <c r="D198" i="6" s="1"/>
  <c r="C1327" i="9" s="1"/>
  <c r="A348" i="6"/>
  <c r="D348" i="6" s="1"/>
  <c r="C1477" i="9" s="1"/>
  <c r="A30" i="6"/>
  <c r="D30" i="6" s="1"/>
  <c r="C1159" i="9" s="1"/>
  <c r="A54" i="6"/>
  <c r="D54" i="6" s="1"/>
  <c r="C1183" i="9" s="1"/>
</calcChain>
</file>

<file path=xl/sharedStrings.xml><?xml version="1.0" encoding="utf-8"?>
<sst xmlns="http://schemas.openxmlformats.org/spreadsheetml/2006/main" count="7245" uniqueCount="1356">
  <si>
    <t>Building,</t>
  </si>
  <si>
    <t>norte</t>
  </si>
  <si>
    <t xml:space="preserve">sul </t>
  </si>
  <si>
    <t>leste</t>
  </si>
  <si>
    <t>oeste</t>
  </si>
  <si>
    <t>orientação</t>
  </si>
  <si>
    <t>Building 1,</t>
  </si>
  <si>
    <t>!-</t>
  </si>
  <si>
    <t>Name</t>
  </si>
  <si>
    <t>,                     !-</t>
  </si>
  <si>
    <t>No</t>
  </si>
  <si>
    <t>rth Axis {deg}</t>
  </si>
  <si>
    <t>,</t>
  </si>
  <si>
    <t>Terrain</t>
  </si>
  <si>
    <t>Loads Convergence Tolerance Value</t>
  </si>
  <si>
    <t>Temperature Convergence Tolerance Value {deltaC}</t>
  </si>
  <si>
    <t>Solar Distribution</t>
  </si>
  <si>
    <t>Maximum Number of Warmup Days</t>
  </si>
  <si>
    <t>;</t>
  </si>
  <si>
    <t>Minimum Number of Warmup Days</t>
  </si>
  <si>
    <t>!-   ===========  ALL OBJECTS IN CLASS: MATERIAL:NOMASS ===========</t>
  </si>
  <si>
    <t>!-   ===========  ALL OBJECTS IN CLASS: MATERIAL ===========</t>
  </si>
  <si>
    <t>!-   ===========  ALL OBJECTS IN CLASS: BUILDING ===========</t>
  </si>
  <si>
    <t>!-   ===========  ALL OBJECTS IN CLASS: TIMESTEP ===========</t>
  </si>
  <si>
    <t>!-Generator IDFEditor 1.50</t>
  </si>
  <si>
    <t>!-Option SortedOrder</t>
  </si>
  <si>
    <t>!-NOTE: All comments with '!-' are ignored by the IDFEditor and are generated automatically.</t>
  </si>
  <si>
    <t>!-      Use '!' comments if they need to be retained when using the IDFEditor.</t>
  </si>
  <si>
    <t>!-   ===========  ALL OBJECTS IN CLASS: VERSION ===========</t>
  </si>
  <si>
    <t>!-   ===========  ALL OBJECTS IN CLASS: SIMULATIONCONTROL ===========</t>
  </si>
  <si>
    <t>!-   ===========  ALL OBJECTS IN CLASS: RUNPERIOD ===========</t>
  </si>
  <si>
    <t>!-   ===========  ALL OBJECTS IN CLASS: SCHEDULETYPELIMITS ===========</t>
  </si>
  <si>
    <t>!-   ===========  ALL OBJECTS IN CLASS: SCHEDULE:COMPACT ===========</t>
  </si>
  <si>
    <t>!-   ===========  ALL OBJECTS IN CLASS: SCHEDULE:CONSTANT ===========</t>
  </si>
  <si>
    <t>!-   ===========  ALL OBJECTS IN CLASS: MATERIAL:AIRGAP ===========</t>
  </si>
  <si>
    <t>!-   ===========  ALL OBJECTS IN CLASS: WINDOWMATERIAL:GLAZING ===========</t>
  </si>
  <si>
    <t>!-   ===========  ALL OBJECTS IN CLASS: WINDOWMATERIAL:BLIND ===========</t>
  </si>
  <si>
    <t>!-   ===========  ALL OBJECTS IN CLASS: CONSTRUCTION ===========</t>
  </si>
  <si>
    <t>!-   ===========  ALL OBJECTS IN CLASS: GLOBALGEOMETRYRULES ===========</t>
  </si>
  <si>
    <t>!-   ===========  ALL OBJECTS IN CLASS: ZONE ===========</t>
  </si>
  <si>
    <t>!-   ===========  ALL OBJECTS IN CLASS: ZONELIST ===========</t>
  </si>
  <si>
    <t>!-   ===========  ALL OBJECTS IN CLASS: BUILDINGSURFACE:DETAILED ===========</t>
  </si>
  <si>
    <t>BuildingSurface:Detailed,</t>
  </si>
  <si>
    <t xml:space="preserve">    ParedeIntSalaQuarto1,    !- Name</t>
  </si>
  <si>
    <t xml:space="preserve">    Wall,                    !- Surface Type</t>
  </si>
  <si>
    <t xml:space="preserve">    Sala,                    !- Zone Name</t>
  </si>
  <si>
    <t xml:space="preserve">    Surface,                 !- Outside Boundary Condition</t>
  </si>
  <si>
    <t xml:space="preserve">    ParedeIntQuarto1Sala,    !- Outside Boundary Condition Object</t>
  </si>
  <si>
    <t xml:space="preserve">    NoSun,                   !- Sun Exposure</t>
  </si>
  <si>
    <t xml:space="preserve">    NoWind,                  !- Wind Exposure</t>
  </si>
  <si>
    <t xml:space="preserve">    ,                        !- View Factor to Ground</t>
  </si>
  <si>
    <t xml:space="preserve">    ,                        !- Number of Vertices</t>
  </si>
  <si>
    <t xml:space="preserve">    3.87,                    !- Vertex 1 X-coordinate {m}</t>
  </si>
  <si>
    <t xml:space="preserve">    0.999999999999998,       !- Vertex 1 Y-coordinate {m}</t>
  </si>
  <si>
    <t xml:space="preserve">    2.7,                     !- Vertex 1 Z-coordinate {m}</t>
  </si>
  <si>
    <t xml:space="preserve">    3.87,                    !- Vertex 2 X-coordinate {m}</t>
  </si>
  <si>
    <t xml:space="preserve">    0.999999999999998,       !- Vertex 2 Y-coordinate {m}</t>
  </si>
  <si>
    <t xml:space="preserve">    0,                       !- Vertex 2 Z-coordinate {m}</t>
  </si>
  <si>
    <t xml:space="preserve">    3.87,                    !- Vertex 3 X-coordinate {m}</t>
  </si>
  <si>
    <t xml:space="preserve">    3.95328087937421,        !- Vertex 3 Y-coordinate {m}</t>
  </si>
  <si>
    <t xml:space="preserve">    0,                       !- Vertex 3 Z-coordinate {m}</t>
  </si>
  <si>
    <t xml:space="preserve">    3.87,                    !- Vertex 4 X-coordinate {m}</t>
  </si>
  <si>
    <t xml:space="preserve">    3.95328087937421,        !- Vertex 4 Y-coordinate {m}</t>
  </si>
  <si>
    <t xml:space="preserve">    2.7;                     !- Vertex 4 Z-coordinate {m}</t>
  </si>
  <si>
    <t xml:space="preserve">    ParedeIntSalaQuarto2,    !- Name</t>
  </si>
  <si>
    <t xml:space="preserve">    ParedeIntQuarto2Sala,    !- Outside Boundary Condition Object</t>
  </si>
  <si>
    <t xml:space="preserve">    3.95328087937421,        !- Vertex 1 Y-coordinate {m}</t>
  </si>
  <si>
    <t xml:space="preserve">    3.95328087937421,        !- Vertex 2 Y-coordinate {m}</t>
  </si>
  <si>
    <t xml:space="preserve">    6.73,                    !- Vertex 3 Y-coordinate {m}</t>
  </si>
  <si>
    <t xml:space="preserve">    6.73,                    !- Vertex 4 Y-coordinate {m}</t>
  </si>
  <si>
    <t xml:space="preserve">    ParedeSalaLeste,         !- Name</t>
  </si>
  <si>
    <t xml:space="preserve">    Outdoors,                !- Outside Boundary Condition</t>
  </si>
  <si>
    <t xml:space="preserve">    ,                        !- Outside Boundary Condition Object</t>
  </si>
  <si>
    <t xml:space="preserve">    SunExposed,              !- Sun Exposure</t>
  </si>
  <si>
    <t xml:space="preserve">    WindExposed,             !- Wind Exposure</t>
  </si>
  <si>
    <t xml:space="preserve">    0,                       !- Vertex 1 Y-coordinate {m}</t>
  </si>
  <si>
    <t xml:space="preserve">    0,                       !- Vertex 2 Y-coordinate {m}</t>
  </si>
  <si>
    <t xml:space="preserve">    0.999999999999998,       !- Vertex 3 Y-coordinate {m}</t>
  </si>
  <si>
    <t xml:space="preserve">    0.999999999999998,       !- Vertex 4 Y-coordinate {m}</t>
  </si>
  <si>
    <t xml:space="preserve">    ParedeSalaNorte,         !- Name</t>
  </si>
  <si>
    <t xml:space="preserve">    6.73,                    !- Vertex 1 Y-coordinate {m}</t>
  </si>
  <si>
    <t xml:space="preserve">    6.73,                    !- Vertex 2 Y-coordinate {m}</t>
  </si>
  <si>
    <t xml:space="preserve">    2.66,                    !- Vertex 3 X-coordinate {m}</t>
  </si>
  <si>
    <t xml:space="preserve">    2.66,                    !- Vertex 4 X-coordinate {m}</t>
  </si>
  <si>
    <t xml:space="preserve">    ParedeSalaOeste,         !- Name</t>
  </si>
  <si>
    <t xml:space="preserve">    0,                       !- Vertex 1 X-coordinate {m}</t>
  </si>
  <si>
    <t xml:space="preserve">    4.91,                    !- Vertex 1 Y-coordinate {m}</t>
  </si>
  <si>
    <t xml:space="preserve">    0,                       !- Vertex 2 X-coordinate {m}</t>
  </si>
  <si>
    <t xml:space="preserve">    4.91,                    !- Vertex 2 Y-coordinate {m}</t>
  </si>
  <si>
    <t xml:space="preserve">    0,                       !- Vertex 3 X-coordinate {m}</t>
  </si>
  <si>
    <t xml:space="preserve">    0,                       !- Vertex 3 Y-coordinate {m}</t>
  </si>
  <si>
    <t xml:space="preserve">    0,                       !- Vertex 4 X-coordinate {m}</t>
  </si>
  <si>
    <t xml:space="preserve">    0,                       !- Vertex 4 Y-coordinate {m}</t>
  </si>
  <si>
    <t xml:space="preserve">    ParedeSalaSul,           !- Name</t>
  </si>
  <si>
    <t xml:space="preserve">    Surface 10,              !- Name</t>
  </si>
  <si>
    <t xml:space="preserve">    ParedeIntBanheiroSala1,  !- Outside Boundary Condition Object</t>
  </si>
  <si>
    <t xml:space="preserve">    2.66,                    !- Vertex 1 X-coordinate {m}</t>
  </si>
  <si>
    <t xml:space="preserve">    2.66,                    !- Vertex 2 X-coordinate {m}</t>
  </si>
  <si>
    <t xml:space="preserve">    4.91,                    !- Vertex 3 Y-coordinate {m}</t>
  </si>
  <si>
    <t xml:space="preserve">    4.91,                    !- Vertex 4 Y-coordinate {m}</t>
  </si>
  <si>
    <t xml:space="preserve">    Surface 11,              !- Name</t>
  </si>
  <si>
    <t xml:space="preserve">    ParedeIntBanheiroSala2,  !- Outside Boundary Condition Object</t>
  </si>
  <si>
    <t xml:space="preserve">    Surface 30,              !- Name</t>
  </si>
  <si>
    <t xml:space="preserve">    Surface 7,               !- Name</t>
  </si>
  <si>
    <t xml:space="preserve">    Floor,                   !- Surface Type</t>
  </si>
  <si>
    <t xml:space="preserve">    Laje protendida alveolar,!- Construction Name</t>
  </si>
  <si>
    <t xml:space="preserve">    Ground,                  !- Outside Boundary Condition</t>
  </si>
  <si>
    <t xml:space="preserve">    0,                       !- Vertex 1 Z-coordinate {m}</t>
  </si>
  <si>
    <t xml:space="preserve">    0,                       !- Vertex 4 Z-coordinate {m}</t>
  </si>
  <si>
    <t xml:space="preserve">    2.66,                    !- Vertex 5 X-coordinate {m}</t>
  </si>
  <si>
    <t xml:space="preserve">    4.91,                    !- Vertex 5 Y-coordinate {m}</t>
  </si>
  <si>
    <t xml:space="preserve">    0,                       !- Vertex 5 Z-coordinate {m}</t>
  </si>
  <si>
    <t xml:space="preserve">    2.66,                    !- Vertex 6 X-coordinate {m}</t>
  </si>
  <si>
    <t xml:space="preserve">    6.73,                    !- Vertex 6 Y-coordinate {m}</t>
  </si>
  <si>
    <t xml:space="preserve">    0;                       !- Vertex 6 Z-coordinate {m}</t>
  </si>
  <si>
    <t xml:space="preserve">    Surface 8,               !- Name</t>
  </si>
  <si>
    <t xml:space="preserve">    Ceiling,                 !- Surface Type</t>
  </si>
  <si>
    <t xml:space="preserve">    Forro2,                  !- Outside Boundary Condition Object</t>
  </si>
  <si>
    <t xml:space="preserve">    2.7,                     !- Vertex 2 Z-coordinate {m}</t>
  </si>
  <si>
    <t xml:space="preserve">    3.295,                   !- Vertex 3 X-coordinate {m}</t>
  </si>
  <si>
    <t xml:space="preserve">    2.7,                     !- Vertex 3 Z-coordinate {m}</t>
  </si>
  <si>
    <t xml:space="preserve">    3.295,                   !- Vertex 4 X-coordinate {m}</t>
  </si>
  <si>
    <t xml:space="preserve">    ParedeIntQuarto1Quarto2, !- Name</t>
  </si>
  <si>
    <t xml:space="preserve">    Quarto1,                 !- Zone Name</t>
  </si>
  <si>
    <t xml:space="preserve">    ParedeIntQuarto2Quarto1, !- Outside Boundary Condition Object</t>
  </si>
  <si>
    <t xml:space="preserve">    2.71999999999999,        !- Vertex 1 X-coordinate {m}</t>
  </si>
  <si>
    <t xml:space="preserve">    2.95328087937421,        !- Vertex 1 Y-coordinate {m}</t>
  </si>
  <si>
    <t xml:space="preserve">    2.71999999999999,        !- Vertex 2 X-coordinate {m}</t>
  </si>
  <si>
    <t xml:space="preserve">    2.95328087937421,        !- Vertex 2 Y-coordinate {m}</t>
  </si>
  <si>
    <t xml:space="preserve">    -4.33146851719357e-015,  !- Vertex 3 X-coordinate {m}</t>
  </si>
  <si>
    <t xml:space="preserve">    2.95328087937421,        !- Vertex 3 Y-coordinate {m}</t>
  </si>
  <si>
    <t xml:space="preserve">    -4.33146851719357e-015,  !- Vertex 4 X-coordinate {m}</t>
  </si>
  <si>
    <t xml:space="preserve">    2.95328087937421,        !- Vertex 4 Y-coordinate {m}</t>
  </si>
  <si>
    <t xml:space="preserve">    ParedeIntQuarto1Sala,    !- Name</t>
  </si>
  <si>
    <t xml:space="preserve">    ParedeIntSalaQuarto1,    !- Outside Boundary Condition Object</t>
  </si>
  <si>
    <t xml:space="preserve">    -4.33146851719357e-015,  !- Vertex 1 X-coordinate {m}</t>
  </si>
  <si>
    <t xml:space="preserve">    -4.33146851719357e-015,  !- Vertex 2 X-coordinate {m}</t>
  </si>
  <si>
    <t xml:space="preserve">    3.97051280742744e-015,   !- Vertex 3 Y-coordinate {m}</t>
  </si>
  <si>
    <t xml:space="preserve">    3.97051280742744e-015,   !- Vertex 4 Y-coordinate {m}</t>
  </si>
  <si>
    <t xml:space="preserve">    ParedeQuarto1Leste,      !- Name</t>
  </si>
  <si>
    <t xml:space="preserve">    3.97051280742744e-015,   !- Vertex 1 Y-coordinate {m}</t>
  </si>
  <si>
    <t xml:space="preserve">    3.97051280742744e-015,   !- Vertex 2 Y-coordinate {m}</t>
  </si>
  <si>
    <t xml:space="preserve">    2.71999999999999,        !- Vertex 3 X-coordinate {m}</t>
  </si>
  <si>
    <t xml:space="preserve">    2.71999999999999,        !- Vertex 4 X-coordinate {m}</t>
  </si>
  <si>
    <t xml:space="preserve">    ParedeQuarto1Sul,        !- Name</t>
  </si>
  <si>
    <t xml:space="preserve">    Surface 15,              !- Name</t>
  </si>
  <si>
    <t xml:space="preserve">    0;                       !- Vertex 4 Z-coordinate {m}</t>
  </si>
  <si>
    <t xml:space="preserve">    Surface 16,              !- Name</t>
  </si>
  <si>
    <t xml:space="preserve">    ForroQuarto1,            !- Outside Boundary Condition Object</t>
  </si>
  <si>
    <t xml:space="preserve">    ParedeIntQuarto2Quarto1, !- Name</t>
  </si>
  <si>
    <t xml:space="preserve">    Quarto2,                 !- Zone Name</t>
  </si>
  <si>
    <t xml:space="preserve">    ParedeIntQuarto1Quarto2, !- Outside Boundary Condition Object</t>
  </si>
  <si>
    <t xml:space="preserve">    ParedeIntQuarto2Sala,    !- Name</t>
  </si>
  <si>
    <t xml:space="preserve">    ParedeIntSalaQuarto2,    !- Outside Boundary Condition Object</t>
  </si>
  <si>
    <t xml:space="preserve">    -2.16573425859679e-015,  !- Vertex 1 X-coordinate {m}</t>
  </si>
  <si>
    <t xml:space="preserve">    2.77671912062579,        !- Vertex 1 Y-coordinate {m}</t>
  </si>
  <si>
    <t xml:space="preserve">    -2.88764567812905e-015,  !- Vertex 2 X-coordinate {m}</t>
  </si>
  <si>
    <t xml:space="preserve">    2.77671912062579,        !- Vertex 2 Y-coordinate {m}</t>
  </si>
  <si>
    <t xml:space="preserve">    -2.17148374021287e-031,  !- Vertex 2 Z-coordinate {m}</t>
  </si>
  <si>
    <t xml:space="preserve">    ParedeQuarto2Leste,      !- Name</t>
  </si>
  <si>
    <t xml:space="preserve">    3.28671912062579,        !- Vertex 3 Y-coordinate {m}</t>
  </si>
  <si>
    <t xml:space="preserve">    3.28671912062579,        !- Vertex 4 Y-coordinate {m}</t>
  </si>
  <si>
    <t xml:space="preserve">    ParedeQuarto2Norte,      !- Name</t>
  </si>
  <si>
    <t xml:space="preserve">    3.28671912062579,        !- Vertex 1 Y-coordinate {m}</t>
  </si>
  <si>
    <t xml:space="preserve">    3.28671912062579,        !- Vertex 2 Y-coordinate {m}</t>
  </si>
  <si>
    <t xml:space="preserve">    -7.21911419532262e-016,  !- Vertex 3 X-coordinate {m}</t>
  </si>
  <si>
    <t xml:space="preserve">    2.17148374021286e-031,   !- Vertex 3 Z-coordinate {m}</t>
  </si>
  <si>
    <t xml:space="preserve">    7.21911419532262e-016,   !- Vertex 4 X-coordinate {m}</t>
  </si>
  <si>
    <t xml:space="preserve">    ParedeQuarto2Oeste,      !- Name</t>
  </si>
  <si>
    <t xml:space="preserve">    7.21911419532262e-016,   !- Vertex 1 X-coordinate {m}</t>
  </si>
  <si>
    <t xml:space="preserve">    -7.21911419532262e-016,  !- Vertex 2 X-coordinate {m}</t>
  </si>
  <si>
    <t xml:space="preserve">    2.17148374021286e-031,   !- Vertex 2 Z-coordinate {m}</t>
  </si>
  <si>
    <t xml:space="preserve">    -2.88764567812905e-015,  !- Vertex 3 X-coordinate {m}</t>
  </si>
  <si>
    <t xml:space="preserve">    2.77671912062579,        !- Vertex 3 Y-coordinate {m}</t>
  </si>
  <si>
    <t xml:space="preserve">    -2.17148374021287e-031,  !- Vertex 3 Z-coordinate {m}</t>
  </si>
  <si>
    <t xml:space="preserve">    -2.16573425859679e-015,  !- Vertex 4 X-coordinate {m}</t>
  </si>
  <si>
    <t xml:space="preserve">    2.77671912062579,        !- Vertex 4 Y-coordinate {m}</t>
  </si>
  <si>
    <t xml:space="preserve">    Surface 21,              !- Name</t>
  </si>
  <si>
    <t xml:space="preserve">    -7.21911419532262e-016,  !- Vertex 4 X-coordinate {m}</t>
  </si>
  <si>
    <t xml:space="preserve">    2.17148374021286e-031;   !- Vertex 4 Z-coordinate {m}</t>
  </si>
  <si>
    <t xml:space="preserve">    Surface 26,              !- Name</t>
  </si>
  <si>
    <t xml:space="preserve">    ForroQuarto2,            !- Outside Boundary Condition Object</t>
  </si>
  <si>
    <t xml:space="preserve">    7.21911419532262e-016,   !- Vertex 3 X-coordinate {m}</t>
  </si>
  <si>
    <t xml:space="preserve">    ParedeBanheiroNorte,     !- Name</t>
  </si>
  <si>
    <t xml:space="preserve">    Banheiro,                !- Zone Name</t>
  </si>
  <si>
    <t xml:space="preserve">    1.81999999999999,        !- Vertex 1 Y-coordinate {m}</t>
  </si>
  <si>
    <t xml:space="preserve">    1.81999999999999,        !- Vertex 2 Y-coordinate {m}</t>
  </si>
  <si>
    <t xml:space="preserve">    1.81999999999999,        !- Vertex 3 Y-coordinate {m}</t>
  </si>
  <si>
    <t xml:space="preserve">    1.81999999999999,        !- Vertex 4 Y-coordinate {m}</t>
  </si>
  <si>
    <t xml:space="preserve">    ParedeBanheiroOeste,     !- Name</t>
  </si>
  <si>
    <t xml:space="preserve">    ParedeIntBanheiroSala1,  !- Name</t>
  </si>
  <si>
    <t xml:space="preserve">    Surface 10,              !- Outside Boundary Condition Object</t>
  </si>
  <si>
    <t xml:space="preserve">    ParedeIntBanheiroSala2,  !- Name</t>
  </si>
  <si>
    <t xml:space="preserve">    Surface 11,              !- Outside Boundary Condition Object</t>
  </si>
  <si>
    <t xml:space="preserve">    Surface 31,              !- Name</t>
  </si>
  <si>
    <t xml:space="preserve">    Surface 32,              !- Name</t>
  </si>
  <si>
    <t xml:space="preserve">    ForroBanheiro,           !- Outside Boundary Condition Object</t>
  </si>
  <si>
    <t xml:space="preserve">    ForroBanheiro,           !- Name</t>
  </si>
  <si>
    <t xml:space="preserve">    Telhado1,                !- Zone Name</t>
  </si>
  <si>
    <t xml:space="preserve">    Surface 32,              !- Outside Boundary Condition Object</t>
  </si>
  <si>
    <t xml:space="preserve">    ForroSala1,              !- Name</t>
  </si>
  <si>
    <t xml:space="preserve">    3.295,                   !- Vertex 1 X-coordinate {m}</t>
  </si>
  <si>
    <t xml:space="preserve">    3.295,                   !- Vertex 2 X-coordinate {m}</t>
  </si>
  <si>
    <t xml:space="preserve">    3.60955709766131e-016,   !- Vertex 2 Z-coordinate {m}</t>
  </si>
  <si>
    <t xml:space="preserve">    ParedeIntTelhado1Telhado2,  !- Name</t>
  </si>
  <si>
    <t xml:space="preserve">    ParedeIntTelhado2Telhado1,  !- Outside Boundary Condition Object</t>
  </si>
  <si>
    <t xml:space="preserve">    1.4,                     !- Vertex 1 Z-coordinate {m}</t>
  </si>
  <si>
    <t xml:space="preserve">    1.4;                     !- Vertex 4 Z-coordinate {m}</t>
  </si>
  <si>
    <t xml:space="preserve">    ParedeTelhado1Norte,     !- Name</t>
  </si>
  <si>
    <t xml:space="preserve">    0;                       !- Vertex 3 Z-coordinate {m}</t>
  </si>
  <si>
    <t xml:space="preserve">    ParedeTelhado1Sul,       !- Name</t>
  </si>
  <si>
    <t xml:space="preserve">    3.60955709766131e-016;   !- Vertex 3 Z-coordinate {m}</t>
  </si>
  <si>
    <t xml:space="preserve">    Telha1,                  !- Name</t>
  </si>
  <si>
    <t xml:space="preserve">    Roof,                    !- Surface Type</t>
  </si>
  <si>
    <t xml:space="preserve">    ForroQuarto1,            !- Name</t>
  </si>
  <si>
    <t xml:space="preserve">    Telhado3,                !- Zone Name</t>
  </si>
  <si>
    <t xml:space="preserve">    Surface 16,              !- Outside Boundary Condition Object</t>
  </si>
  <si>
    <t xml:space="preserve">    2.29190243740329e-016,   !- Vertex 1 Z-coordinate {m}</t>
  </si>
  <si>
    <t xml:space="preserve">    5.07092876337922e-016,   !- Vertex 2 Z-coordinate {m}</t>
  </si>
  <si>
    <t xml:space="preserve">    -4.15099066231051e-015,  !- Vertex 3 X-coordinate {m}</t>
  </si>
  <si>
    <t xml:space="preserve">    4.87123888572633e-017,   !- Vertex 3 Z-coordinate {m}</t>
  </si>
  <si>
    <t xml:space="preserve">    3.21593091018845e-032,   !- Vertex 4 X-coordinate {m}</t>
  </si>
  <si>
    <t xml:space="preserve">    -2.29190243740328e-016;  !- Vertex 4 Z-coordinate {m}</t>
  </si>
  <si>
    <t xml:space="preserve">    ForroQuarto2,            !- Name</t>
  </si>
  <si>
    <t xml:space="preserve">    Surface 26,              !- Outside Boundary Condition Object</t>
  </si>
  <si>
    <t xml:space="preserve">    6.24000000000003,        !- Vertex 1 Y-coordinate {m}</t>
  </si>
  <si>
    <t xml:space="preserve">    5.41433564649197e-016,   !- Vertex 1 Z-coordinate {m}</t>
  </si>
  <si>
    <t xml:space="preserve">    1.80477854883066e-016,   !- Vertex 2 Z-coordinate {m}</t>
  </si>
  <si>
    <t xml:space="preserve">    2.39501883111713e-032,   !- Vertex 3 X-coordinate {m}</t>
  </si>
  <si>
    <t xml:space="preserve">    -1.80477854883065e-016,  !- Vertex 3 Z-coordinate {m}</t>
  </si>
  <si>
    <t xml:space="preserve">    6.24000000000003,        !- Vertex 4 Y-coordinate {m}</t>
  </si>
  <si>
    <t xml:space="preserve">    1.80477854883065e-016;   !- Vertex 4 Z-coordinate {m}</t>
  </si>
  <si>
    <t xml:space="preserve">    ParedeIntTelhado3Telhado2,  !- Name</t>
  </si>
  <si>
    <t xml:space="preserve">    ParedeIntTelhado2Telhado3,  !- Outside Boundary Condition Object</t>
  </si>
  <si>
    <t xml:space="preserve">    -4.1509906623105e-015,   !- Vertex 1 X-coordinate {m}</t>
  </si>
  <si>
    <t xml:space="preserve">    5.73,                    !- Vertex 1 Y-coordinate {m}</t>
  </si>
  <si>
    <t xml:space="preserve">    1.1556904400607,         !- Vertex 1 Z-coordinate {m}</t>
  </si>
  <si>
    <t xml:space="preserve">    -3.79003495254438e-015,  !- Vertex 2 X-coordinate {m}</t>
  </si>
  <si>
    <t xml:space="preserve">    5.73,                    !- Vertex 2 Y-coordinate {m}</t>
  </si>
  <si>
    <t xml:space="preserve">    -5.63684789180769e-032,  !- Vertex 2 Z-coordinate {m}</t>
  </si>
  <si>
    <t xml:space="preserve">    5.63684789180765e-032,   !- Vertex 3 Z-coordinate {m}</t>
  </si>
  <si>
    <t xml:space="preserve">    -4.51194637207664e-015,  !- Vertex 4 X-coordinate {m}</t>
  </si>
  <si>
    <t xml:space="preserve">    1.1556904400607;         !- Vertex 4 Z-coordinate {m}</t>
  </si>
  <si>
    <t xml:space="preserve">    ParedeTelhado3Norte,     !- Name</t>
  </si>
  <si>
    <t xml:space="preserve">    6.24000000000003,        !- Vertex 2 Y-coordinate {m}</t>
  </si>
  <si>
    <t xml:space="preserve">    5.41433564649197e-016,   !- Vertex 2 Z-coordinate {m}</t>
  </si>
  <si>
    <t xml:space="preserve">    6.24000000000003,        !- Vertex 3 Y-coordinate {m}</t>
  </si>
  <si>
    <t xml:space="preserve">    1.80477854883065e-016;   !- Vertex 3 Z-coordinate {m}</t>
  </si>
  <si>
    <t xml:space="preserve">    ParedeTelhado3Oeste,     !- Name</t>
  </si>
  <si>
    <t xml:space="preserve">    1.80477854883065e-016,   !- Vertex 2 Z-coordinate {m}</t>
  </si>
  <si>
    <t xml:space="preserve">    -3.79003495254438e-015,  !- Vertex 3 X-coordinate {m}</t>
  </si>
  <si>
    <t xml:space="preserve">    5.73,                    !- Vertex 3 Y-coordinate {m}</t>
  </si>
  <si>
    <t xml:space="preserve">    -5.63684789180777e-032,  !- Vertex 3 Z-coordinate {m}</t>
  </si>
  <si>
    <t xml:space="preserve">    -4.1509906623105e-015,   !- Vertex 4 X-coordinate {m}</t>
  </si>
  <si>
    <t xml:space="preserve">    5.73,                    !- Vertex 4 Y-coordinate {m}</t>
  </si>
  <si>
    <t xml:space="preserve">    ParedeTelhado3Sul,       !- Name</t>
  </si>
  <si>
    <t xml:space="preserve">    -4.51194637207664e-015,  !- Vertex 1 X-coordinate {m}</t>
  </si>
  <si>
    <t xml:space="preserve">    -4.15099066231051e-015,  !- Vertex 2 X-coordinate {m}</t>
  </si>
  <si>
    <t xml:space="preserve">    5.63684789180773e-032,   !- Vertex 2 Z-coordinate {m}</t>
  </si>
  <si>
    <t xml:space="preserve">    5.55805265195185e-016;   !- Vertex 3 Z-coordinate {m}</t>
  </si>
  <si>
    <t xml:space="preserve">    Telha3,                  !- Name</t>
  </si>
  <si>
    <t xml:space="preserve">    5.55805265195185e-016,   !- Vertex 2 Z-coordinate {m}</t>
  </si>
  <si>
    <t xml:space="preserve">    5.41433564649197e-016,   !- Vertex 3 Z-coordinate {m}</t>
  </si>
  <si>
    <t xml:space="preserve">    Forro2,                  !- Name</t>
  </si>
  <si>
    <t xml:space="preserve">    Telhado2,                !- Zone Name</t>
  </si>
  <si>
    <t xml:space="preserve">    Surface 8,               !- Outside Boundary Condition Object</t>
  </si>
  <si>
    <t xml:space="preserve">    0.574999999999996,       !- Vertex 1 X-coordinate {m}</t>
  </si>
  <si>
    <t xml:space="preserve">    3.60955709766131e-016,   !- Vertex 1 Z-coordinate {m}</t>
  </si>
  <si>
    <t xml:space="preserve">    0.574999999999996,       !- Vertex 2 X-coordinate {m}</t>
  </si>
  <si>
    <t xml:space="preserve">    5.6399329650958e-017,    !- Vertex 2 Y-coordinate {m}</t>
  </si>
  <si>
    <t xml:space="preserve">    -1.20222401955682e-031,  !- Vertex 2 Z-coordinate {m}</t>
  </si>
  <si>
    <t xml:space="preserve">    -5.05337993672583e-015,  !- Vertex 3 X-coordinate {m}</t>
  </si>
  <si>
    <t xml:space="preserve">    -4.51194637207664e-017,  !- Vertex 3 Y-coordinate {m}</t>
  </si>
  <si>
    <t xml:space="preserve">    3.60955709766131e-016,   !- Vertex 3 Z-coordinate {m}</t>
  </si>
  <si>
    <t xml:space="preserve">    7.21911419532262e-016;   !- Vertex 4 Z-coordinate {m}</t>
  </si>
  <si>
    <t xml:space="preserve">    ParedeIntTelhado2Telhado1,  !- Name</t>
  </si>
  <si>
    <t xml:space="preserve">    ParedeIntTelhado1Telhado2,  !- Outside Boundary Condition Object</t>
  </si>
  <si>
    <t xml:space="preserve">    7.21911419532262e-016,   !- Vertex 2 Z-coordinate {m}</t>
  </si>
  <si>
    <t xml:space="preserve">    -5.05337993672583e-015,  !- Vertex 4 X-coordinate {m}</t>
  </si>
  <si>
    <t xml:space="preserve">    4.51194637207664e-017,   !- Vertex 4 Y-coordinate {m}</t>
  </si>
  <si>
    <t xml:space="preserve">    ParedeIntTelhado2Telhado3,  !- Name</t>
  </si>
  <si>
    <t xml:space="preserve">    ParedeIntTelhado3Telhado2,  !- Outside Boundary Condition Object</t>
  </si>
  <si>
    <t xml:space="preserve">    0.574999999999996,       !- Vertex 3 X-coordinate {m}</t>
  </si>
  <si>
    <t xml:space="preserve">    0.574999999999996,       !- Vertex 4 X-coordinate {m}</t>
  </si>
  <si>
    <t xml:space="preserve">    ParedeTelhado2Leste,     !- Name</t>
  </si>
  <si>
    <t xml:space="preserve">    1.24078525232107e-016,   !- Vertex 1 Y-coordinate {m}</t>
  </si>
  <si>
    <t xml:space="preserve">    ParedeTelhado2Norte,     !- Name</t>
  </si>
  <si>
    <t xml:space="preserve">    1.1556904400607,         !- Vertex 2 Z-coordinate {m}</t>
  </si>
  <si>
    <t xml:space="preserve">    ParedeTelhado2Sul 1,     !- Name</t>
  </si>
  <si>
    <t xml:space="preserve">    -5.05337993672583e-015,  !- Vertex 1 X-coordinate {m}</t>
  </si>
  <si>
    <t xml:space="preserve">    4.51194637207664e-017,   !- Vertex 1 Y-coordinate {m}</t>
  </si>
  <si>
    <t xml:space="preserve">    -5.05337993672583e-015,  !- Vertex 2 X-coordinate {m}</t>
  </si>
  <si>
    <t xml:space="preserve">    -4.51194637207664e-017,  !- Vertex 2 Y-coordinate {m}</t>
  </si>
  <si>
    <t xml:space="preserve">    5.6399329650958e-017,    !- Vertex 3 Y-coordinate {m}</t>
  </si>
  <si>
    <t xml:space="preserve">    1.24078525232107e-016,   !- Vertex 4 Y-coordinate {m}</t>
  </si>
  <si>
    <t xml:space="preserve">    Telha2,                  !- Name</t>
  </si>
  <si>
    <t xml:space="preserve">    1.24078525232107e-016,   !- Vertex 2 Y-coordinate {m}</t>
  </si>
  <si>
    <t xml:space="preserve">    1.1556904400607,         !- Vertex 3 Z-coordinate {m}</t>
  </si>
  <si>
    <t>!-   ===========  ALL OBJECTS IN CLASS: FENESTRATIONSURFACE:DETAILED ===========</t>
  </si>
  <si>
    <t>!-   ===========  ALL OBJECTS IN CLASS: WINDOWPROPERTY:FRAMEANDDIVIDER ===========</t>
  </si>
  <si>
    <t>!-   ===========  ALL OBJECTS IN CLASS: SHADING:BUILDING:DETAILED ===========</t>
  </si>
  <si>
    <t>!-   ===========  ALL OBJECTS IN CLASS: GROUNDHEATTRANSFER:CONTROL ===========</t>
  </si>
  <si>
    <t>!-   ===========  ALL OBJECTS IN CLASS: GROUNDHEATTRANSFER:SLAB:MATERIALS ===========</t>
  </si>
  <si>
    <t>!-   ===========  ALL OBJECTS IN CLASS: GROUNDHEATTRANSFER:SLAB:MATLPROPS ===========</t>
  </si>
  <si>
    <t>!-   ===========  ALL OBJECTS IN CLASS: GROUNDHEATTRANSFER:SLAB:BOUNDCONDS ===========</t>
  </si>
  <si>
    <t>!-   ===========  ALL OBJECTS IN CLASS: GROUNDHEATTRANSFER:SLAB:BLDGPROPS ===========</t>
  </si>
  <si>
    <t>!-   ===========  ALL OBJECTS IN CLASS: GROUNDHEATTRANSFER:SLAB:INSULATION ===========</t>
  </si>
  <si>
    <t>!-   ===========  ALL OBJECTS IN CLASS: GROUNDHEATTRANSFER:SLAB:EQUIVALENTSLAB ===========</t>
  </si>
  <si>
    <t>!-   ===========  ALL OBJECTS IN CLASS: PEOPLE ===========</t>
  </si>
  <si>
    <t>!-   ===========  ALL OBJECTS IN CLASS: LIGHTS ===========</t>
  </si>
  <si>
    <t>!-   ===========  ALL OBJECTS IN CLASS: ELECTRICEQUIPMENT ===========</t>
  </si>
  <si>
    <t>!-   ===========  ALL OBJECTS IN CLASS: ZONEINFILTRATION:DESIGNFLOWRATE ===========</t>
  </si>
  <si>
    <t>!-   ===========  ALL OBJECTS IN CLASS: AIRFLOWNETWORK:MULTIZONE:SURFACE ===========</t>
  </si>
  <si>
    <t>!-   ===========  ALL OBJECTS IN CLASS: AIRFLOWNETWORK:MULTIZONE:COMPONENT:DETAILEDOPENING ===========</t>
  </si>
  <si>
    <t>!-   ===========  ALL OBJECTS IN CLASS: HVACTEMPLATE:THERMOSTAT ===========</t>
  </si>
  <si>
    <t>!-   ===========  ALL OBJECTS IN CLASS: HVACTEMPLATE:ZONE:IDEALLOADSAIRSYSTEM ===========</t>
  </si>
  <si>
    <t>!-   ===========  ALL OBJECTS IN CLASS: SIZING:PARAMETERS ===========</t>
  </si>
  <si>
    <t>!-   ===========  ALL OBJECTS IN CLASS: OUTDOORAIR:NODE ===========</t>
  </si>
  <si>
    <t>!-   ===========  ALL OBJECTS IN CLASS: OUTPUT:VARIABLEDICTIONARY ===========</t>
  </si>
  <si>
    <t>!-   ===========  ALL OBJECTS IN CLASS: OUTPUT:SURFACES:DRAWING ===========</t>
  </si>
  <si>
    <t>!-   ===========  ALL OBJECTS IN CLASS: OUTPUT:TABLE:SUMMARYREPORTS ===========</t>
  </si>
  <si>
    <t>!-   ===========  ALL OBJECTS IN CLASS: OUTPUTCONTROL:TABLE:STYLE ===========</t>
  </si>
  <si>
    <t>!-   ===========  ALL OBJECTS IN CLASS: OUTPUT:VARIABLE ===========</t>
  </si>
  <si>
    <t>!-   ===========  ALL OBJECTS IN CLASS: OUTPUT:METER ===========</t>
  </si>
  <si>
    <t>!-   ===========  ALL OBJECTS IN CLASS: OUTPUT:SQLITE ===========</t>
  </si>
  <si>
    <t>!- Name</t>
  </si>
  <si>
    <t>Roughness</t>
  </si>
  <si>
    <t>Thickness {m}</t>
  </si>
  <si>
    <t>Conductivity {W/m-K}</t>
  </si>
  <si>
    <t>Density {kg/m3}</t>
  </si>
  <si>
    <t>Thermal Absorptance</t>
  </si>
  <si>
    <t>Solar Absorptance</t>
  </si>
  <si>
    <t>Visible Absorptance</t>
  </si>
  <si>
    <t>0,  !- Name</t>
  </si>
  <si>
    <t>x7x125,  !- Name</t>
  </si>
  <si>
    <t>EPS,  !- Name</t>
  </si>
  <si>
    <t>,  !- Name</t>
  </si>
  <si>
    <t>arg</t>
  </si>
  <si>
    <t>ges</t>
  </si>
  <si>
    <t>!-   ==</t>
  </si>
  <si>
    <t>=========  ALL OBJECTS</t>
  </si>
  <si>
    <t>I</t>
  </si>
  <si>
    <t>N CLASS: MATERIAL ===========</t>
  </si>
  <si>
    <t>Materia</t>
  </si>
  <si>
    <t>l,</t>
  </si>
  <si>
    <t>Cer</t>
  </si>
  <si>
    <t>âmica tijolo 9x9x24 pa</t>
  </si>
  <si>
    <t>re</t>
  </si>
  <si>
    <t>de sem revestimento,  !- Name</t>
  </si>
  <si>
    <t>Rou</t>
  </si>
  <si>
    <t>gh,</t>
  </si>
  <si>
    <t>0.0</t>
  </si>
  <si>
    <t>0.9</t>
  </si>
  <si>
    <t>Specific Heat {J/kg-K}</t>
  </si>
  <si>
    <t>0.7</t>
  </si>
  <si>
    <t>âmica tijolo 9x14x24 ,</t>
  </si>
  <si>
    <t>amassa interna,</t>
  </si>
  <si>
    <t>1.1</t>
  </si>
  <si>
    <t>so interno,</t>
  </si>
  <si>
    <t>0.3</t>
  </si>
  <si>
    <t>Pla</t>
  </si>
  <si>
    <t>ca gesso,</t>
  </si>
  <si>
    <t>Gra</t>
  </si>
  <si>
    <t>nito ,</t>
  </si>
  <si>
    <t>âmica tijolo 9x19x19,</t>
  </si>
  <si>
    <t>âmica tijolo 12x19x19,</t>
  </si>
  <si>
    <t>âmica tijolo 14x19x29,</t>
  </si>
  <si>
    <t>Con</t>
  </si>
  <si>
    <t>creto bloco 9x19x39,</t>
  </si>
  <si>
    <t>1.7</t>
  </si>
  <si>
    <t>creto bloco 14x19x39,</t>
  </si>
  <si>
    <t>âmica laje tavela 24x7</t>
  </si>
  <si>
    <t>x2</t>
  </si>
  <si>
    <t>1.0</t>
  </si>
  <si>
    <t>creto+EPS laje tavela</t>
  </si>
  <si>
    <t>0.2</t>
  </si>
  <si>
    <t>Pis</t>
  </si>
  <si>
    <t>o cerâmico,</t>
  </si>
  <si>
    <t>con</t>
  </si>
  <si>
    <t>trapiso laje 2 cm,</t>
  </si>
  <si>
    <t>so forro,</t>
  </si>
  <si>
    <t>creto laje nervurada c</t>
  </si>
  <si>
    <t>/</t>
  </si>
  <si>
    <t>amassa laje pré-moldad</t>
  </si>
  <si>
    <t>a,</t>
  </si>
  <si>
    <t>EPS</t>
  </si>
  <si>
    <t>da</t>
  </si>
  <si>
    <t>0.1</t>
  </si>
  <si>
    <t>creto laje alveolar,</t>
  </si>
  <si>
    <t>creto laje maciça,</t>
  </si>
  <si>
    <t>Cêr</t>
  </si>
  <si>
    <t>amica telha pre-moldad</t>
  </si>
  <si>
    <t>a1</t>
  </si>
  <si>
    <t>fib</t>
  </si>
  <si>
    <t>rocimento telha,</t>
  </si>
  <si>
    <t>Mad</t>
  </si>
  <si>
    <t>eira forro,</t>
  </si>
  <si>
    <t>so forro laje nervurad</t>
  </si>
  <si>
    <t>creto laje pre moldada</t>
  </si>
  <si>
    <t>câmara de ar,  !- Name</t>
  </si>
  <si>
    <t>amassa externa,</t>
  </si>
  <si>
    <t>âmica tijolo 14x9x24,</t>
  </si>
  <si>
    <t>trapiso laje 5 cm,</t>
  </si>
  <si>
    <t>eira,</t>
  </si>
  <si>
    <t>Med</t>
  </si>
  <si>
    <t>iumRough,</t>
  </si>
  <si>
    <t>Aco</t>
  </si>
  <si>
    <t>Smo</t>
  </si>
  <si>
    <t>oth,</t>
  </si>
  <si>
    <t>5;</t>
  </si>
  <si>
    <t>N CLASS: MATERIAL:NOMASS ===========</t>
  </si>
  <si>
    <t xml:space="preserve"> mais concreto laje nervura</t>
  </si>
  <si>
    <t>PVC f</t>
  </si>
  <si>
    <t>orro,</t>
  </si>
  <si>
    <t>absortância telhas</t>
  </si>
  <si>
    <t>orientação não mexer no  valor</t>
  </si>
  <si>
    <t xml:space="preserve"> ,!- Construction Name</t>
  </si>
  <si>
    <t>Parede bloco concreto 9x19x39 c/ argamassa int e ext</t>
  </si>
  <si>
    <t>Parede  Tijolo cerâmico 9x14x24 c/ argamassa int e ext</t>
  </si>
  <si>
    <t>Parede  Tijolo EPS</t>
  </si>
  <si>
    <t>Parede  Tijolo La</t>
  </si>
  <si>
    <t>Tipo de parede</t>
  </si>
  <si>
    <t>,!- Construction Name</t>
  </si>
  <si>
    <t>Forro PVC</t>
  </si>
  <si>
    <t>Forro Gesso</t>
  </si>
  <si>
    <t>Forro Laje</t>
  </si>
  <si>
    <t>Tipo de forro</t>
  </si>
  <si>
    <t>,               !- Construction Name</t>
  </si>
  <si>
    <t xml:space="preserve">             ,  !- Construction Name</t>
  </si>
  <si>
    <t>Telha ceramica</t>
  </si>
  <si>
    <t>Telha fibrocimento</t>
  </si>
  <si>
    <t>tipo de telha</t>
  </si>
  <si>
    <t>Numeracao do modelos</t>
  </si>
  <si>
    <t>orientacao</t>
  </si>
  <si>
    <t>sul</t>
  </si>
  <si>
    <t>absortancia</t>
  </si>
  <si>
    <t>tipo de parede</t>
  </si>
  <si>
    <t>tipo de forro</t>
  </si>
  <si>
    <t>Tipo de telha</t>
  </si>
  <si>
    <t>exemplo</t>
  </si>
  <si>
    <t>norte/0.7/parede tijolo la/forro laje/telha fibrocimento</t>
  </si>
  <si>
    <t>modelo numero</t>
  </si>
  <si>
    <t>modelo a ser simulado numero</t>
  </si>
  <si>
    <t>modelo num</t>
  </si>
  <si>
    <t>Version,</t>
  </si>
  <si>
    <t xml:space="preserve">    9.1;                     !- Version Identifier</t>
  </si>
  <si>
    <t>SimulationControl,</t>
  </si>
  <si>
    <t xml:space="preserve">    No,                      !- Do Zone Sizing Calculation</t>
  </si>
  <si>
    <t xml:space="preserve">    No,                      !- Do System Sizing Calculation</t>
  </si>
  <si>
    <t xml:space="preserve">    No,                      !- Do Plant Sizing Calculation</t>
  </si>
  <si>
    <t xml:space="preserve">    Yes,                     !- Run Simulation for Sizing Periods</t>
  </si>
  <si>
    <t xml:space="preserve">    Yes;                     !- Run Simulation for Weather File Run Periods</t>
  </si>
  <si>
    <t>Timestep,</t>
  </si>
  <si>
    <t xml:space="preserve">    6;                       !- Number of Timesteps per Hour</t>
  </si>
  <si>
    <t>RunPeriod,</t>
  </si>
  <si>
    <t xml:space="preserve">    Run Period 1,            !- Name</t>
  </si>
  <si>
    <t xml:space="preserve">    1,                       !- Begin Month</t>
  </si>
  <si>
    <t xml:space="preserve">    1,                       !- Begin Day of Month</t>
  </si>
  <si>
    <t xml:space="preserve">    2009,                    !- Begin Year</t>
  </si>
  <si>
    <t xml:space="preserve">    12,                      !- End Month</t>
  </si>
  <si>
    <t xml:space="preserve">    31,                      !- End Day of Month</t>
  </si>
  <si>
    <t xml:space="preserve">    2009,                    !- End Year</t>
  </si>
  <si>
    <t xml:space="preserve">    Thursday,                !- Day of Week for Start Day</t>
  </si>
  <si>
    <t xml:space="preserve">    No,                      !- Use Weather File Holidays and Special Days</t>
  </si>
  <si>
    <t xml:space="preserve">    No,                      !- Use Weather File Daylight Saving Period</t>
  </si>
  <si>
    <t xml:space="preserve">    No,                      !- Apply Weekend Holiday Rule</t>
  </si>
  <si>
    <t xml:space="preserve">    Yes,                     !- Use Weather File Rain Indicators</t>
  </si>
  <si>
    <t xml:space="preserve">    Yes;                     !- Use Weather File Snow Indicators</t>
  </si>
  <si>
    <t>ScheduleTypeLimits,</t>
  </si>
  <si>
    <t xml:space="preserve">    Qualquer,                !- Name</t>
  </si>
  <si>
    <t xml:space="preserve">    0,                       !- Lower Limit Value</t>
  </si>
  <si>
    <t xml:space="preserve">    100000,                  !- Upper Limit Value</t>
  </si>
  <si>
    <t xml:space="preserve">    Continuous,              !- Numeric Type</t>
  </si>
  <si>
    <t xml:space="preserve">    Dimensionless;           !- Unit Type</t>
  </si>
  <si>
    <t xml:space="preserve">    fracao2,                 !- Name</t>
  </si>
  <si>
    <t xml:space="preserve">    100,                     !- Upper Limit Value</t>
  </si>
  <si>
    <t xml:space="preserve">    Discrete,                !- Numeric Type</t>
  </si>
  <si>
    <t xml:space="preserve">    Percent;                 !- Unit Type</t>
  </si>
  <si>
    <t xml:space="preserve">    Temperature,             !- Name</t>
  </si>
  <si>
    <t xml:space="preserve">    -60,                     !- Lower Limit Value</t>
  </si>
  <si>
    <t xml:space="preserve">    200,                     !- Upper Limit Value</t>
  </si>
  <si>
    <t xml:space="preserve">    CONTINUOUS;              !- Numeric Type</t>
  </si>
  <si>
    <t>Schedule:Compact,</t>
  </si>
  <si>
    <t xml:space="preserve">    Sch_Infiltracao,         !- Name</t>
  </si>
  <si>
    <t xml:space="preserve">    Qualquer,                !- Schedule Type Limits Name</t>
  </si>
  <si>
    <t xml:space="preserve">    Through:12/31,           !- Field 1</t>
  </si>
  <si>
    <t xml:space="preserve">    For: alldays,            !- Field 2</t>
  </si>
  <si>
    <t xml:space="preserve">    Until: 24:00,            !- Field 3</t>
  </si>
  <si>
    <t xml:space="preserve">    1;                       !- Field 4</t>
  </si>
  <si>
    <t xml:space="preserve">    Sch_Ocupacao_Quartos,    !- Name</t>
  </si>
  <si>
    <t xml:space="preserve">    Through: 12/31,          !- Field 1</t>
  </si>
  <si>
    <t xml:space="preserve">    Until: 08:00,            !- Field 3</t>
  </si>
  <si>
    <t xml:space="preserve">    1,                       !- Field 4</t>
  </si>
  <si>
    <t xml:space="preserve">    Until: 22:00,            !- Field 5</t>
  </si>
  <si>
    <t xml:space="preserve">    0,                       !- Field 6</t>
  </si>
  <si>
    <t xml:space="preserve">    Until: 24:00,            !- Field 7</t>
  </si>
  <si>
    <t xml:space="preserve">    1;                       !- Field 8</t>
  </si>
  <si>
    <t xml:space="preserve">    Sch_Ocupacao_Sala,       !- Name</t>
  </si>
  <si>
    <t xml:space="preserve">    Until: 14:00,            !- Field 3</t>
  </si>
  <si>
    <t xml:space="preserve">    0,                       !- Field 4</t>
  </si>
  <si>
    <t xml:space="preserve">    Until: 19:00,            !- Field 5</t>
  </si>
  <si>
    <t xml:space="preserve">    .5,                      !- Field 6</t>
  </si>
  <si>
    <t xml:space="preserve">    Until: 22:00,            !- Field 7</t>
  </si>
  <si>
    <t xml:space="preserve">    1,                       !- Field 8</t>
  </si>
  <si>
    <t xml:space="preserve">    Until: 24:00,            !- Field 9</t>
  </si>
  <si>
    <t xml:space="preserve">    0;                       !- Field 10</t>
  </si>
  <si>
    <t xml:space="preserve">    Sch_Iluminacao_Quarto,   !- Name</t>
  </si>
  <si>
    <t xml:space="preserve">    Until: 06:00,            !- Field 3</t>
  </si>
  <si>
    <t xml:space="preserve">    Until: 08:00,            !- Field 5</t>
  </si>
  <si>
    <t xml:space="preserve">    1,                       !- Field 6</t>
  </si>
  <si>
    <t xml:space="preserve">    0,                       !- Field 8</t>
  </si>
  <si>
    <t xml:space="preserve">    Until: 23:00,            !- Field 9</t>
  </si>
  <si>
    <t xml:space="preserve">    1,                       !- Field 10</t>
  </si>
  <si>
    <t xml:space="preserve">    Until:24:00,             !- Field 11</t>
  </si>
  <si>
    <t xml:space="preserve">    0;                       !- Field 12</t>
  </si>
  <si>
    <t xml:space="preserve">    Sch_Iluminacaio_Sala,    !- Name</t>
  </si>
  <si>
    <t xml:space="preserve">    Until: 16:00,            !- Field 3</t>
  </si>
  <si>
    <t xml:space="preserve">    0;                       !- Field 8</t>
  </si>
  <si>
    <t xml:space="preserve">    Sch_Atividade_Sala,      !- Name</t>
  </si>
  <si>
    <t xml:space="preserve">    108;                     !- Field 4</t>
  </si>
  <si>
    <t xml:space="preserve">    Sch_Atividade_Quarto,    !- Name</t>
  </si>
  <si>
    <t xml:space="preserve">    81;                      !- Field 4</t>
  </si>
  <si>
    <t xml:space="preserve">    Sch_Equip_Sala,          !- Name</t>
  </si>
  <si>
    <t xml:space="preserve">    Until:14:00,             !- Field 3</t>
  </si>
  <si>
    <t xml:space="preserve">    Until: 23:00,            !- Field 5</t>
  </si>
  <si>
    <t xml:space="preserve">    sch_ventnatural_porta,   !- Name</t>
  </si>
  <si>
    <t xml:space="preserve">    fracao2,                 !- Schedule Type Limits Name</t>
  </si>
  <si>
    <t xml:space="preserve">    For: weekdays,           !- Field 2</t>
  </si>
  <si>
    <t xml:space="preserve">    Until: 10:00,            !- Field 3</t>
  </si>
  <si>
    <t xml:space="preserve">    Until: 21:00,            !- Field 5</t>
  </si>
  <si>
    <t xml:space="preserve">    For: allotherdays,       !- Field 9</t>
  </si>
  <si>
    <t xml:space="preserve">    until: 08:00,            !- Field 10</t>
  </si>
  <si>
    <t xml:space="preserve">    0,                       !- Field 11</t>
  </si>
  <si>
    <t xml:space="preserve">    until: 21:00,            !- Field 12</t>
  </si>
  <si>
    <t xml:space="preserve">    1,                       !- Field 13</t>
  </si>
  <si>
    <t xml:space="preserve">    Until: 24:00,            !- Field 14</t>
  </si>
  <si>
    <t xml:space="preserve">    0;                       !- Field 15</t>
  </si>
  <si>
    <t xml:space="preserve">    sch_ventnatural_janela,  !- Name</t>
  </si>
  <si>
    <t xml:space="preserve">    .04,                     !- Field 4</t>
  </si>
  <si>
    <t xml:space="preserve">    .04,                     !- Field 8</t>
  </si>
  <si>
    <t xml:space="preserve">    .04,                     !- Field 11</t>
  </si>
  <si>
    <t xml:space="preserve">    .04;                     !- Field 15</t>
  </si>
  <si>
    <t>Schedule:Constant,</t>
  </si>
  <si>
    <t xml:space="preserve">    sch_setpointventilacao,  !- Name</t>
  </si>
  <si>
    <t xml:space="preserve">    Temperature,             !- Schedule Type Limits Name</t>
  </si>
  <si>
    <t xml:space="preserve">    20;                      !- Hourly Value</t>
  </si>
  <si>
    <t xml:space="preserve">    0.9,                     !- Conductivity {W/m-K}</t>
  </si>
  <si>
    <t xml:space="preserve">    0.9,                     !- Thermal Absorptance</t>
  </si>
  <si>
    <t xml:space="preserve">    0.7,                     !- Solar Absorptance</t>
  </si>
  <si>
    <t xml:space="preserve">    0.7;                     !- Visible Absorptance</t>
  </si>
  <si>
    <t xml:space="preserve">    Smooth,                  !- Roughness</t>
  </si>
  <si>
    <t>Material:NoMass,</t>
  </si>
  <si>
    <t xml:space="preserve">    EPS 8 cm,                !- Name</t>
  </si>
  <si>
    <t xml:space="preserve">    2,                       !- Thermal Resistance {m2-K/W}</t>
  </si>
  <si>
    <t xml:space="preserve">    La_Rocha,                !- Name</t>
  </si>
  <si>
    <t xml:space="preserve">    0.889,                   !- Thermal Resistance {m2-K/W}</t>
  </si>
  <si>
    <t>Material:AirGap,</t>
  </si>
  <si>
    <t xml:space="preserve">    Câmara tijolo 9x9x24,    !- Name</t>
  </si>
  <si>
    <t xml:space="preserve">    0.138;                   !- Thermal Resistance {m2-K/W}</t>
  </si>
  <si>
    <t xml:space="preserve">    Câmara ar tijolo 9x14x24 sem revest.,  !- Name</t>
  </si>
  <si>
    <t xml:space="preserve">    0.162;                   !- Thermal Resistance {m2-K/W}</t>
  </si>
  <si>
    <t xml:space="preserve">    Câmara ar tijolo 9x14x24 arg. int e ext,  !- Name</t>
  </si>
  <si>
    <t xml:space="preserve">    0.175;                   !- Thermal Resistance {m2-K/W}</t>
  </si>
  <si>
    <t xml:space="preserve">    Câmara ar tijolo 9x14x24 ges. int e arg. ext,  !- Name</t>
  </si>
  <si>
    <t xml:space="preserve">    0.174;                   !- Thermal Resistance {m2-K/W}</t>
  </si>
  <si>
    <t xml:space="preserve">    Câmara ar tijolo 9x14x24 plc. ges. int e arg. ext,  !- Name</t>
  </si>
  <si>
    <t xml:space="preserve">    0.165;                   !- Thermal Resistance {m2-K/W}</t>
  </si>
  <si>
    <t xml:space="preserve">    Câmara ar tijolo 9x14x24 arg. ext,  !- Name</t>
  </si>
  <si>
    <t xml:space="preserve">    0.146;                   !- Thermal Resistance {m2-K/W}</t>
  </si>
  <si>
    <t xml:space="preserve">    Câmara ar 1 tijolo 9x14x24 al. comp,  !- Name</t>
  </si>
  <si>
    <t xml:space="preserve">    0.153;                   !- Thermal Resistance {m2-K/W}</t>
  </si>
  <si>
    <t xml:space="preserve">    Câmara ar 2 tijolo 9x14x24 al. comp,  !- Name</t>
  </si>
  <si>
    <t xml:space="preserve">    0.186;                   !- Thermal Resistance {m2-K/W}</t>
  </si>
  <si>
    <t xml:space="preserve">    Câmara ar 1 tijolo 9x14x24 al. comp. EPS,  !- Name</t>
  </si>
  <si>
    <t xml:space="preserve">    0.131;                   !- Thermal Resistance {m2-K/W}</t>
  </si>
  <si>
    <t xml:space="preserve">    Câmara ar 1 tijolo 9x14x24 plc. mel.,  !- Name</t>
  </si>
  <si>
    <t xml:space="preserve">    0.17;                    !- Thermal Resistance {m2-K/W}</t>
  </si>
  <si>
    <t xml:space="preserve">    Câmara ar 2 tijolo 9x14x24 plc. mel.,  !- Name</t>
  </si>
  <si>
    <t xml:space="preserve">    Câmara ar 1 tijolo 9x14x24 plc. mel. EPS,  !- Name</t>
  </si>
  <si>
    <t xml:space="preserve">    Câmara ar 1 e 3  tijolo duplo 9x14x24,  !- Name</t>
  </si>
  <si>
    <t xml:space="preserve">    Câmara ar 2 tijolo duplo 9x14x24,  !- Name</t>
  </si>
  <si>
    <t xml:space="preserve">    0.183;                   !- Thermal Resistance {m2-K/W}</t>
  </si>
  <si>
    <t xml:space="preserve">    Câmara ar 1 e 2 tijolo duplo 9x14x24 c/ EPS,  !- Name</t>
  </si>
  <si>
    <t xml:space="preserve">    0.099;                   !- Thermal Resistance {m2-K/W}</t>
  </si>
  <si>
    <t xml:space="preserve">    Câmara ar tijolo 9x19x19,!- Name</t>
  </si>
  <si>
    <t xml:space="preserve">    0.18;                    !- Thermal Resistance {m2-K/W}</t>
  </si>
  <si>
    <t xml:space="preserve">    Câmara ar tijolo 12x19x19,  !- Name</t>
  </si>
  <si>
    <t xml:space="preserve">    0.227;                   !- Thermal Resistance {m2-K/W}</t>
  </si>
  <si>
    <t xml:space="preserve">    Câmara ar tijolo 14x9x24 sem rev.,  !- Name</t>
  </si>
  <si>
    <t xml:space="preserve">    0.292;                   !- Thermal Resistance {m2-K/W}</t>
  </si>
  <si>
    <t xml:space="preserve">    Câmara ar tijolo 14x19x29 arg. int ext,  !- Name</t>
  </si>
  <si>
    <t xml:space="preserve">    0.297;                   !- Thermal Resistance {m2-K/W}</t>
  </si>
  <si>
    <t xml:space="preserve">    Câmara ar tijolo 14x19x29 ges. int arg. ext,  !- Name</t>
  </si>
  <si>
    <t xml:space="preserve">    0.311;                   !- Thermal Resistance {m2-K/W}</t>
  </si>
  <si>
    <t xml:space="preserve">    Câmara ar tijolo 14x19x29 plc ges. int arg. ext,  !- Name</t>
  </si>
  <si>
    <t xml:space="preserve">    0.322;                   !- Thermal Resistance {m2-K/W}</t>
  </si>
  <si>
    <t xml:space="preserve">    Câmara ar tijolo 14x19x29 arg. ext,  !- Name</t>
  </si>
  <si>
    <t xml:space="preserve">    0.268;                   !- Thermal Resistance {m2-K/W}</t>
  </si>
  <si>
    <t xml:space="preserve">    Câmara ar bloco 9x19x39 arg. int ext,  !- Name</t>
  </si>
  <si>
    <t xml:space="preserve">    0.125;                   !- Thermal Resistance {m2-K/W}</t>
  </si>
  <si>
    <t xml:space="preserve">    Câmara ar bloco 9x19x39 ges. int arg. ext,  !- Name</t>
  </si>
  <si>
    <t xml:space="preserve">    0.126;                   !- Thermal Resistance {m2-K/W}</t>
  </si>
  <si>
    <t xml:space="preserve">    Câmara ar bloco 9x19x39 plc ges int arg ext,  !- Name</t>
  </si>
  <si>
    <t xml:space="preserve">    0.128;                   !- Thermal Resistance {m2-K/W}</t>
  </si>
  <si>
    <t xml:space="preserve">    Câmara ar bloco 9x19x39 arg ext,  !- Name</t>
  </si>
  <si>
    <t xml:space="preserve">    0.122;                   !- Thermal Resistance {m2-K/W}</t>
  </si>
  <si>
    <t xml:space="preserve">    Câmara ar bloco 14x19x39 arg int ext,  !- Name</t>
  </si>
  <si>
    <t xml:space="preserve">    Câmara ar bloco 14x19x39 ges int arg ext,  !- Name</t>
  </si>
  <si>
    <t xml:space="preserve">    0.127;                   !- Thermal Resistance {m2-K/W}</t>
  </si>
  <si>
    <t xml:space="preserve">    Câmara ar bloco 14x19x39 plc ges int arg ext,  !- Name</t>
  </si>
  <si>
    <t xml:space="preserve">    Câmara ar bloco 14x19x39 arg ext,  !- Name</t>
  </si>
  <si>
    <t xml:space="preserve">    Câmara ar 1 bloco 14x19x39 al. comp,  !- Name</t>
  </si>
  <si>
    <t xml:space="preserve">    0.093;                   !- Thermal Resistance {m2-K/W}</t>
  </si>
  <si>
    <t xml:space="preserve">    Câmara ar 2 bloco 14x19x39 al. comp,  !- Name</t>
  </si>
  <si>
    <t xml:space="preserve">    Câmara ar 1 bloco 14x19x39 al. comp EPS,  !- Name</t>
  </si>
  <si>
    <t xml:space="preserve">    Câmara ar 1 bloco 14x19x39 plc mel.,  !- Name</t>
  </si>
  <si>
    <t xml:space="preserve">    Câmara ar 2 bloco 14x19x39 plc mel.,  !- Name</t>
  </si>
  <si>
    <t xml:space="preserve">    Câmara ar 1 bloco 14x19x39 plc mel. EPS,  !- Name</t>
  </si>
  <si>
    <t xml:space="preserve">    0.111;                   !- Thermal Resistance {m2-K/W}</t>
  </si>
  <si>
    <t xml:space="preserve">    Câmara ar bloco 14x19x39 gran,  !- Name</t>
  </si>
  <si>
    <t xml:space="preserve">    Câmara ar laje pm tavela,!- Name</t>
  </si>
  <si>
    <t xml:space="preserve">    0.081;                   !- Thermal Resistance {m2-K/W}</t>
  </si>
  <si>
    <t xml:space="preserve">    Câmara ar laje nerv,     !- Name</t>
  </si>
  <si>
    <t xml:space="preserve">    0.1063;                  !- Thermal Resistance {m2-K/W}</t>
  </si>
  <si>
    <t xml:space="preserve">    Câmara ar laje alveolar, !- Name</t>
  </si>
  <si>
    <t xml:space="preserve">    0.068;                   !- Thermal Resistance {m2-K/W}</t>
  </si>
  <si>
    <t xml:space="preserve">    Câmara ar ático telhado, !- Name</t>
  </si>
  <si>
    <t xml:space="preserve">    0.21;                    !- Thermal Resistance {m2-K/W}</t>
  </si>
  <si>
    <t xml:space="preserve">    Câmara ar tijolo 9x14x24 gran,  !- Name</t>
  </si>
  <si>
    <t xml:space="preserve">    0.167;                   !- Thermal Resistance {m2-K/W}</t>
  </si>
  <si>
    <t xml:space="preserve">    Câmara ar 1e 3 bloco duplo 14x19x39 ,  !- Name</t>
  </si>
  <si>
    <t xml:space="preserve">    0.559;                   !- Thermal Resistance {m2-K/W}</t>
  </si>
  <si>
    <t xml:space="preserve">    Câmara ar 2 bloco duplo 14x19x39 ,  !- Name</t>
  </si>
  <si>
    <t xml:space="preserve">    0.184;                   !- Thermal Resistance {m2-K/W}</t>
  </si>
  <si>
    <t xml:space="preserve">    Câmara ar 1 bloco duplo 14x19x39 c/ EPS,  !- Name</t>
  </si>
  <si>
    <t xml:space="preserve">    1.081;                   !- Thermal Resistance {m2-K/W}</t>
  </si>
  <si>
    <t xml:space="preserve">    Câmara ar 2 bloco duplo 14x19x39 c/ EPS,  !- Name</t>
  </si>
  <si>
    <t>WindowMaterial:Glazing,</t>
  </si>
  <si>
    <t xml:space="preserve">    Clear 3mm,               !- Name</t>
  </si>
  <si>
    <t xml:space="preserve">    SpectralAverage,         !- Optical Data Type</t>
  </si>
  <si>
    <t xml:space="preserve">    ,                        !- Window Glass Spectral Data Set Name</t>
  </si>
  <si>
    <t xml:space="preserve">    0.00299999999999999,     !- Thickness {m}</t>
  </si>
  <si>
    <t xml:space="preserve">    0.837,                   !- Solar Transmittance at Normal Incidence</t>
  </si>
  <si>
    <t xml:space="preserve">    0.075,                   !- Front Side Solar Reflectance at Normal Incidence</t>
  </si>
  <si>
    <t xml:space="preserve">    0,                       !- Back Side Solar Reflectance at Normal Incidence</t>
  </si>
  <si>
    <t xml:space="preserve">    0.898,                   !- Visible Transmittance at Normal Incidence</t>
  </si>
  <si>
    <t xml:space="preserve">    0.081,                   !- Front Side Visible Reflectance at Normal Incidence</t>
  </si>
  <si>
    <t xml:space="preserve">    0,                       !- Back Side Visible Reflectance at Normal Incidence</t>
  </si>
  <si>
    <t xml:space="preserve">    0,                       !- Infrared Transmittance at Normal Incidence</t>
  </si>
  <si>
    <t xml:space="preserve">    0.84,                    !- Front Side Infrared Hemispherical Emissivity</t>
  </si>
  <si>
    <t xml:space="preserve">    0.84,                    !- Back Side Infrared Hemispherical Emissivity</t>
  </si>
  <si>
    <t xml:space="preserve">    1,                       !- Dirt Correction Factor for Solar and Visible Transmittance</t>
  </si>
  <si>
    <t xml:space="preserve">    No;                      !- Solar Diffusing</t>
  </si>
  <si>
    <t xml:space="preserve">    Theoretical Glass [167], !- Name</t>
  </si>
  <si>
    <t xml:space="preserve">    0.2374,                  !- Solar Transmittance at Normal Incidence</t>
  </si>
  <si>
    <t xml:space="preserve">    0.7126,                  !- Front Side Solar Reflectance at Normal Incidence</t>
  </si>
  <si>
    <t xml:space="preserve">    0.2512,                  !- Visible Transmittance at Normal Incidence</t>
  </si>
  <si>
    <t xml:space="preserve">    0.6988,                  !- Front Side Visible Reflectance at Normal Incidence</t>
  </si>
  <si>
    <t xml:space="preserve">    0.985,                   !- Front Side Infrared Hemispherical Emissivity</t>
  </si>
  <si>
    <t xml:space="preserve">    0.985,                   !- Back Side Infrared Hemispherical Emissivity</t>
  </si>
  <si>
    <t xml:space="preserve">    2.1073,                  !- Conductivity {W/m-K}</t>
  </si>
  <si>
    <t xml:space="preserve">    Theoretical Glass [197], !- Name</t>
  </si>
  <si>
    <t xml:space="preserve">    0.2349,                  !- Solar Transmittance at Normal Incidence</t>
  </si>
  <si>
    <t xml:space="preserve">    0.7151,                  !- Front Side Solar Reflectance at Normal Incidence</t>
  </si>
  <si>
    <t xml:space="preserve">    0.9,                     !- Front Side Infrared Hemispherical Emissivity</t>
  </si>
  <si>
    <t xml:space="preserve">    0.9,                     !- Back Side Infrared Hemispherical Emissivity</t>
  </si>
  <si>
    <t xml:space="preserve">    0.0415,                  !- Conductivity {W/m-K}</t>
  </si>
  <si>
    <t xml:space="preserve">    Theoretical Glass [202], !- Name</t>
  </si>
  <si>
    <t xml:space="preserve">    0.2325,                  !- Solar Transmittance at Normal Incidence</t>
  </si>
  <si>
    <t xml:space="preserve">    0.7175,                  !- Front Side Solar Reflectance at Normal Incidence</t>
  </si>
  <si>
    <t xml:space="preserve">    0.3192,                  !- Visible Transmittance at Normal Incidence</t>
  </si>
  <si>
    <t xml:space="preserve">    0.6308,                  !- Front Side Visible Reflectance at Normal Incidence</t>
  </si>
  <si>
    <t xml:space="preserve">    0.0192,                  !- Conductivity {W/m-K}</t>
  </si>
  <si>
    <t xml:space="preserve">    Theoretical Glass [207], !- Name</t>
  </si>
  <si>
    <t xml:space="preserve">    0.3311,                  !- Solar Transmittance at Normal Incidence</t>
  </si>
  <si>
    <t xml:space="preserve">    0.6189,                  !- Front Side Solar Reflectance at Normal Incidence</t>
  </si>
  <si>
    <t xml:space="preserve">    0.44,                    !- Visible Transmittance at Normal Incidence</t>
  </si>
  <si>
    <t xml:space="preserve">    0.51,                    !- Front Side Visible Reflectance at Normal Incidence</t>
  </si>
  <si>
    <t xml:space="preserve">    0.0133,                  !- Conductivity {W/m-K}</t>
  </si>
  <si>
    <t xml:space="preserve">    Theoretical Glass [216], !- Name</t>
  </si>
  <si>
    <t xml:space="preserve">    0.3801,                  !- Solar Transmittance at Normal Incidence</t>
  </si>
  <si>
    <t xml:space="preserve">    0.5699,                  !- Front Side Solar Reflectance at Normal Incidence</t>
  </si>
  <si>
    <t xml:space="preserve">    0.5079,                  !- Visible Transmittance at Normal Incidence</t>
  </si>
  <si>
    <t xml:space="preserve">    0.4421,                  !- Front Side Visible Reflectance at Normal Incidence</t>
  </si>
  <si>
    <t xml:space="preserve">    Theoretical Glass [221], !- Name</t>
  </si>
  <si>
    <t xml:space="preserve">    0.4296,                  !- Solar Transmittance at Normal Incidence</t>
  </si>
  <si>
    <t xml:space="preserve">    0.5204,                  !- Front Side Solar Reflectance at Normal Incidence</t>
  </si>
  <si>
    <t xml:space="preserve">    0.4503,                  !- Visible Transmittance at Normal Incidence</t>
  </si>
  <si>
    <t xml:space="preserve">    0.4997,                  !- Front Side Visible Reflectance at Normal Incidence</t>
  </si>
  <si>
    <t xml:space="preserve">    0.0089,                  !- Conductivity {W/m-K}</t>
  </si>
  <si>
    <t>WindowMaterial:Blind,</t>
  </si>
  <si>
    <t xml:space="preserve">    Window Material Blind 1, !- Name</t>
  </si>
  <si>
    <t xml:space="preserve">    Horizontal,              !- Slat Orientation</t>
  </si>
  <si>
    <t xml:space="preserve">    0.025,                   !- Slat Width {m}</t>
  </si>
  <si>
    <t xml:space="preserve">    0.01875,                 !- Slat Separation {m}</t>
  </si>
  <si>
    <t xml:space="preserve">    0.001,                   !- Slat Thickness {m}</t>
  </si>
  <si>
    <t xml:space="preserve">    45,                      !- Slat Angle {deg}</t>
  </si>
  <si>
    <t xml:space="preserve">    221,                     !- Slat Conductivity {W/m-K}</t>
  </si>
  <si>
    <t xml:space="preserve">    0,                       !- Slat Beam Solar Transmittance</t>
  </si>
  <si>
    <t xml:space="preserve">    0.5,                     !- Front Side Slat Beam Solar Reflectance</t>
  </si>
  <si>
    <t xml:space="preserve">    0.5,                     !- Back Side Slat Beam Solar Reflectance</t>
  </si>
  <si>
    <t xml:space="preserve">    0,                       !- Slat Diffuse Solar Transmittance</t>
  </si>
  <si>
    <t xml:space="preserve">    0.5,                     !- Front Side Slat Diffuse Solar Reflectance</t>
  </si>
  <si>
    <t xml:space="preserve">    0.5,                     !- Back Side Slat Diffuse Solar Reflectance</t>
  </si>
  <si>
    <t xml:space="preserve">    0,                       !- Slat Beam Visible Transmittance</t>
  </si>
  <si>
    <t xml:space="preserve">    0.5,                     !- Front Side Slat Beam Visible Reflectance</t>
  </si>
  <si>
    <t xml:space="preserve">    0.5,                     !- Back Side Slat Beam Visible Reflectance</t>
  </si>
  <si>
    <t xml:space="preserve">    0,                       !- Slat Diffuse Visible Transmittance</t>
  </si>
  <si>
    <t xml:space="preserve">    0.5,                     !- Front Side Slat Diffuse Visible Reflectance</t>
  </si>
  <si>
    <t xml:space="preserve">    0.5,                     !- Back Side Slat Diffuse Visible Reflectance</t>
  </si>
  <si>
    <t xml:space="preserve">    0,                       !- Slat Infrared Hemispherical Transmittance</t>
  </si>
  <si>
    <t xml:space="preserve">    0.9,                     !- Front Side Slat Infrared Hemispherical Emissivity</t>
  </si>
  <si>
    <t xml:space="preserve">    0.9,                     !- Back Side Slat Infrared Hemispherical Emissivity</t>
  </si>
  <si>
    <t xml:space="preserve">    0.05,                    !- Blind to Glass Distance {m}</t>
  </si>
  <si>
    <t xml:space="preserve">    0.5,                     !- Blind Top Opening Multiplier</t>
  </si>
  <si>
    <t xml:space="preserve">    0.5,                     !- Blind Bottom Opening Multiplier</t>
  </si>
  <si>
    <t xml:space="preserve">    0.5,                     !- Blind Left Side Opening Multiplier</t>
  </si>
  <si>
    <t xml:space="preserve">    0.5,                     !- Blind Right Side Opening Multiplier</t>
  </si>
  <si>
    <t xml:space="preserve">    0,                       !- Minimum Slat Angle {deg}</t>
  </si>
  <si>
    <t xml:space="preserve">    180;                     !- Maximum Slat Angle {deg}</t>
  </si>
  <si>
    <t>Construction,</t>
  </si>
  <si>
    <t xml:space="preserve">    Parede  Tijolo cerâmico 9x14x24 c/ argamassa int e ext,  !- Name</t>
  </si>
  <si>
    <t xml:space="preserve">    argamassa externa,       !- Outside Layer</t>
  </si>
  <si>
    <t xml:space="preserve">    Cerâmica tijolo 9x14x24 ,!- Layer 2</t>
  </si>
  <si>
    <t xml:space="preserve">    Câmara ar tijolo 9x14x24 arg. int e ext,  !- Layer 3</t>
  </si>
  <si>
    <t xml:space="preserve">    Cerâmica tijolo 9x14x24 ,!- Layer 4</t>
  </si>
  <si>
    <t xml:space="preserve">    argamassa interna;       !- Layer 5</t>
  </si>
  <si>
    <t xml:space="preserve">    Parede bloco concreto 9x19x39 c/ argamassa int e ext,  !- Name</t>
  </si>
  <si>
    <t xml:space="preserve">    Concreto bloco 9x19x39,  !- Layer 2</t>
  </si>
  <si>
    <t xml:space="preserve">    Câmara ar bloco 9x19x39 arg. int ext,  !- Layer 3</t>
  </si>
  <si>
    <t xml:space="preserve">    Concreto bloco 9x19x39,  !- Layer 4</t>
  </si>
  <si>
    <t xml:space="preserve">    Laje protendida alveolar,!- Name</t>
  </si>
  <si>
    <t xml:space="preserve">    Piso cerâmico,           !- Outside Layer</t>
  </si>
  <si>
    <t xml:space="preserve">    contrapiso laje 5 cm,    !- Layer 2</t>
  </si>
  <si>
    <t xml:space="preserve">    Concreto laje alveolar,  !- Layer 3</t>
  </si>
  <si>
    <t xml:space="preserve">    Câmara ar laje alveolar, !- Layer 4</t>
  </si>
  <si>
    <t xml:space="preserve">    Concreto laje alveolar;  !- Layer 5</t>
  </si>
  <si>
    <t xml:space="preserve">    Cobertura c/ telha cerâmica e laje maciça de concreto,  !- Name</t>
  </si>
  <si>
    <t xml:space="preserve">    Cêramica telha pre-moldada1,  !- Outside Layer</t>
  </si>
  <si>
    <t xml:space="preserve">    Câmara ar ático telhado, !- Layer 2</t>
  </si>
  <si>
    <t xml:space="preserve">    Concreto laje maciça;    !- Layer 3</t>
  </si>
  <si>
    <t xml:space="preserve">    Janelas,                 !- Name</t>
  </si>
  <si>
    <t xml:space="preserve">    Clear 3mm;               !- Outside Layer</t>
  </si>
  <si>
    <t xml:space="preserve">    Portas,                  !- Name</t>
  </si>
  <si>
    <t xml:space="preserve">    Madeira;                 !- Outside Layer</t>
  </si>
  <si>
    <t xml:space="preserve">    Telha fibrocimento,      !- Name</t>
  </si>
  <si>
    <t xml:space="preserve">    fibrocimento telha;      !- Outside Layer</t>
  </si>
  <si>
    <t xml:space="preserve">    Forro PVC,               !- Name</t>
  </si>
  <si>
    <t xml:space="preserve">    PVC forro;               !- Outside Layer</t>
  </si>
  <si>
    <t xml:space="preserve">    Parede  Tijolo EPS,      !- Name</t>
  </si>
  <si>
    <t xml:space="preserve">    Cerâmica tijolo 9x14x24, !- Layer 2</t>
  </si>
  <si>
    <t xml:space="preserve">    Cerâmica tijolo 9x14x24, !- Layer 4</t>
  </si>
  <si>
    <t xml:space="preserve">    EPS 8 cm,                !- Layer 5</t>
  </si>
  <si>
    <t xml:space="preserve">    argamassa interna;       !- Layer 6</t>
  </si>
  <si>
    <t xml:space="preserve">    Parede  Tijolo La,       !- Name</t>
  </si>
  <si>
    <t xml:space="preserve">    La_Rocha,                !- Layer 5</t>
  </si>
  <si>
    <t xml:space="preserve">    Parede bloco concreto 9x19x39 c/ argamassa int e ext com eps,  !- Name</t>
  </si>
  <si>
    <t xml:space="preserve">    Parede bloco concreto 9x19x39 c/ argamassa int e ext com la de rocha,  !- Name</t>
  </si>
  <si>
    <t xml:space="preserve">    Telha ceramica,          !- Name</t>
  </si>
  <si>
    <t xml:space="preserve">    Cêramica telha pre-moldada1;  !- Outside Layer</t>
  </si>
  <si>
    <t xml:space="preserve">    Forro Gesso,             !- Name</t>
  </si>
  <si>
    <t xml:space="preserve">    Placa gesso;             !- Outside Layer</t>
  </si>
  <si>
    <t xml:space="preserve">    Forro Laje,              !- Name</t>
  </si>
  <si>
    <t xml:space="preserve">    Concreto laje maciça;    !- Outside Layer</t>
  </si>
  <si>
    <t>GlobalGeometryRules,</t>
  </si>
  <si>
    <t xml:space="preserve">    UpperLeftCorner,         !- Starting Vertex Position</t>
  </si>
  <si>
    <t xml:space="preserve">    Counterclockwise,        !- Vertex Entry Direction</t>
  </si>
  <si>
    <t xml:space="preserve">    Relative,                !- Coordinate System</t>
  </si>
  <si>
    <t xml:space="preserve">    Relative,                !- Daylighting Reference Point Coordinate System</t>
  </si>
  <si>
    <t xml:space="preserve">    Relative;                !- Rectangular Surface Coordinate System</t>
  </si>
  <si>
    <t>Zone,</t>
  </si>
  <si>
    <t xml:space="preserve">    Sala,                    !- Name</t>
  </si>
  <si>
    <t xml:space="preserve">    -0,                      !- Direction of Relative North {deg}</t>
  </si>
  <si>
    <t xml:space="preserve">    0.365968073815235,       !- X Origin {m}</t>
  </si>
  <si>
    <t xml:space="preserve">    0.0750000375264762,      !- Y Origin {m}</t>
  </si>
  <si>
    <t xml:space="preserve">    0;                       !- Z Origin {m}</t>
  </si>
  <si>
    <t xml:space="preserve">    Quarto1,                 !- Name</t>
  </si>
  <si>
    <t xml:space="preserve">    4.23596807381524,        !- X Origin {m}</t>
  </si>
  <si>
    <t xml:space="preserve">    1.07500003752647,        !- Y Origin {m}</t>
  </si>
  <si>
    <t xml:space="preserve">    Quarto2,                 !- Name</t>
  </si>
  <si>
    <t xml:space="preserve">    4.02828091690068,        !- Y Origin {m}</t>
  </si>
  <si>
    <t xml:space="preserve">    Banheiro,                !- Name</t>
  </si>
  <si>
    <t xml:space="preserve">    4.98500003752648,        !- Y Origin {m}</t>
  </si>
  <si>
    <t xml:space="preserve">    Telhado1,                !- Name</t>
  </si>
  <si>
    <t xml:space="preserve">    2.7;                     !- Z Origin {m}</t>
  </si>
  <si>
    <t xml:space="preserve">    Telhado3,                !- Name</t>
  </si>
  <si>
    <t xml:space="preserve">    Telhado2,                !- Name</t>
  </si>
  <si>
    <t xml:space="preserve">    3.66096807381524,        !- X Origin {m}</t>
  </si>
  <si>
    <t>ZoneList,</t>
  </si>
  <si>
    <t xml:space="preserve">    Casa Rerencia,           !- Name</t>
  </si>
  <si>
    <t xml:space="preserve">    Sala,                    !- Zone 1 Name</t>
  </si>
  <si>
    <t xml:space="preserve">    Quarto1,                 !- Zone 2 Name</t>
  </si>
  <si>
    <t xml:space="preserve">    Quarto2,                 !- Zone 3 Name</t>
  </si>
  <si>
    <t xml:space="preserve">    Banheiro,                !- Zone 4 Name</t>
  </si>
  <si>
    <t xml:space="preserve">    Telhado1,                !- Zone 5 Name</t>
  </si>
  <si>
    <t xml:space="preserve">    Telhado3,                !- Zone 6 Name</t>
  </si>
  <si>
    <t xml:space="preserve">    Telhado2;                !- Zone 7 Name</t>
  </si>
  <si>
    <t>FenestrationSurface:Detailed,</t>
  </si>
  <si>
    <t xml:space="preserve">    PortaSalaQuarto1,        !- Name</t>
  </si>
  <si>
    <t xml:space="preserve">    Door,                    !- Surface Type</t>
  </si>
  <si>
    <t xml:space="preserve">    Portas,                  !- Construction Name</t>
  </si>
  <si>
    <t xml:space="preserve">    ParedeIntSalaQuarto1,    !- Building Surface Name</t>
  </si>
  <si>
    <t xml:space="preserve">    PortaQuarto1Sala,        !- Outside Boundary Condition Object</t>
  </si>
  <si>
    <t xml:space="preserve">    ,                        !- Frame and Divider Name</t>
  </si>
  <si>
    <t xml:space="preserve">    ,                        !- Multiplier</t>
  </si>
  <si>
    <t xml:space="preserve">    3.05328087937421,        !- Vertex 1 Y-coordinate {m}</t>
  </si>
  <si>
    <t xml:space="preserve">    2.1,                     !- Vertex 1 Z-coordinate {m}</t>
  </si>
  <si>
    <t xml:space="preserve">    3.05328087937421,        !- Vertex 2 Y-coordinate {m}</t>
  </si>
  <si>
    <t xml:space="preserve">    3.85328087937421,        !- Vertex 3 Y-coordinate {m}</t>
  </si>
  <si>
    <t xml:space="preserve">    3.85328087937421,        !- Vertex 4 Y-coordinate {m}</t>
  </si>
  <si>
    <t xml:space="preserve">    2.1;                     !- Vertex 4 Z-coordinate {m}</t>
  </si>
  <si>
    <t xml:space="preserve">    PortaSalaQuarto2,        !- Name</t>
  </si>
  <si>
    <t xml:space="preserve">    ParedeIntSalaQuarto2,    !- Building Surface Name</t>
  </si>
  <si>
    <t xml:space="preserve">    PortaQuarto2Sala,        !- Outside Boundary Condition Object</t>
  </si>
  <si>
    <t xml:space="preserve">    4.05328087937421,        !- Vertex 1 Y-coordinate {m}</t>
  </si>
  <si>
    <t xml:space="preserve">    4.05328087937421,        !- Vertex 2 Y-coordinate {m}</t>
  </si>
  <si>
    <t xml:space="preserve">    4.85328087937421,        !- Vertex 3 Y-coordinate {m}</t>
  </si>
  <si>
    <t xml:space="preserve">    4.85328087937421,        !- Vertex 4 Y-coordinate {m}</t>
  </si>
  <si>
    <t xml:space="preserve">    Porta1,                  !- Name</t>
  </si>
  <si>
    <t xml:space="preserve">    ParedeSalaLeste,         !- Building Surface Name</t>
  </si>
  <si>
    <t xml:space="preserve">    0.0999999999999977,      !- Vertex 1 Y-coordinate {m}</t>
  </si>
  <si>
    <t xml:space="preserve">    0.0999999999999977,      !- Vertex 2 Y-coordinate {m}</t>
  </si>
  <si>
    <t xml:space="preserve">    0.899999999999998,       !- Vertex 3 Y-coordinate {m}</t>
  </si>
  <si>
    <t xml:space="preserve">    0.899999999999998,       !- Vertex 4 Y-coordinate {m}</t>
  </si>
  <si>
    <t xml:space="preserve">    Porta2,                  !- Name</t>
  </si>
  <si>
    <t xml:space="preserve">    ParedeSalaNorte,         !- Building Surface Name</t>
  </si>
  <si>
    <t xml:space="preserve">    3.77,                    !- Vertex 1 X-coordinate {m}</t>
  </si>
  <si>
    <t xml:space="preserve">    3.77,                    !- Vertex 2 X-coordinate {m}</t>
  </si>
  <si>
    <t xml:space="preserve">    2.97,                    !- Vertex 3 X-coordinate {m}</t>
  </si>
  <si>
    <t xml:space="preserve">    2.97,                    !- Vertex 4 X-coordinate {m}</t>
  </si>
  <si>
    <t xml:space="preserve">    JanelaCozinha,           !- Name</t>
  </si>
  <si>
    <t xml:space="preserve">    Window,                  !- Surface Type</t>
  </si>
  <si>
    <t xml:space="preserve">    Janelas,                 !- Construction Name</t>
  </si>
  <si>
    <t xml:space="preserve">    ParedeSalaOeste,         !- Building Surface Name</t>
  </si>
  <si>
    <t xml:space="preserve">    4.11,                    !- Vertex 1 Y-coordinate {m}</t>
  </si>
  <si>
    <t xml:space="preserve">    4.11,                    !- Vertex 2 Y-coordinate {m}</t>
  </si>
  <si>
    <t xml:space="preserve">    1.1,                     !- Vertex 2 Z-coordinate {m}</t>
  </si>
  <si>
    <t xml:space="preserve">    2.91,                    !- Vertex 3 Y-coordinate {m}</t>
  </si>
  <si>
    <t xml:space="preserve">    1.1,                     !- Vertex 3 Z-coordinate {m}</t>
  </si>
  <si>
    <t xml:space="preserve">    2.91,                    !- Vertex 4 Y-coordinate {m}</t>
  </si>
  <si>
    <t xml:space="preserve">    JanelaSala,              !- Name</t>
  </si>
  <si>
    <t xml:space="preserve">    ParedeSalaSul,           !- Building Surface Name</t>
  </si>
  <si>
    <t xml:space="preserve">    1.185,                   !- Vertex 1 X-coordinate {m}</t>
  </si>
  <si>
    <t xml:space="preserve">    1.185,                   !- Vertex 2 X-coordinate {m}</t>
  </si>
  <si>
    <t xml:space="preserve">    2.685,                   !- Vertex 3 X-coordinate {m}</t>
  </si>
  <si>
    <t xml:space="preserve">    2.685,                   !- Vertex 4 X-coordinate {m}</t>
  </si>
  <si>
    <t xml:space="preserve">    Porta,                   !- Name</t>
  </si>
  <si>
    <t xml:space="preserve">    Surface 11,              !- Building Surface Name</t>
  </si>
  <si>
    <t xml:space="preserve">    Porta,                   !- Outside Boundary Condition Object</t>
  </si>
  <si>
    <t xml:space="preserve">    5.81,                    !- Vertex 1 Y-coordinate {m}</t>
  </si>
  <si>
    <t xml:space="preserve">    5.81,                    !- Vertex 2 Y-coordinate {m}</t>
  </si>
  <si>
    <t xml:space="preserve">    5.01,                    !- Vertex 3 Y-coordinate {m}</t>
  </si>
  <si>
    <t xml:space="preserve">    5.01,                    !- Vertex 4 Y-coordinate {m}</t>
  </si>
  <si>
    <t xml:space="preserve">    PortaQuarto1Sala,        !- Name</t>
  </si>
  <si>
    <t xml:space="preserve">    ParedeIntQuarto1Sala,    !- Building Surface Name</t>
  </si>
  <si>
    <t xml:space="preserve">    PortaSalaQuarto1,        !- Outside Boundary Condition Object</t>
  </si>
  <si>
    <t xml:space="preserve">    2.85328087937421,        !- Vertex 1 Y-coordinate {m}</t>
  </si>
  <si>
    <t xml:space="preserve">    2.85328087937421,        !- Vertex 2 Y-coordinate {m}</t>
  </si>
  <si>
    <t xml:space="preserve">    3.10211962887551e-032,   !- Vertex 2 Z-coordinate {m}</t>
  </si>
  <si>
    <t xml:space="preserve">    2.05328087937421,        !- Vertex 3 Y-coordinate {m}</t>
  </si>
  <si>
    <t xml:space="preserve">    -3.10211962887551e-032,  !- Vertex 3 Z-coordinate {m}</t>
  </si>
  <si>
    <t xml:space="preserve">    2.05328087937421,        !- Vertex 4 Y-coordinate {m}</t>
  </si>
  <si>
    <t xml:space="preserve">    JanelaQuarto1,           !- Name</t>
  </si>
  <si>
    <t xml:space="preserve">    ParedeQuarto1Sul,        !- Building Surface Name</t>
  </si>
  <si>
    <t xml:space="preserve">    0.609999999999996,       !- Vertex 1 X-coordinate {m}</t>
  </si>
  <si>
    <t xml:space="preserve">    0.609999999999996,       !- Vertex 2 X-coordinate {m}</t>
  </si>
  <si>
    <t xml:space="preserve">    2.11,                    !- Vertex 3 X-coordinate {m}</t>
  </si>
  <si>
    <t xml:space="preserve">    2.11,                    !- Vertex 4 X-coordinate {m}</t>
  </si>
  <si>
    <t xml:space="preserve">    PortaQuarto2Sala,        !- Name</t>
  </si>
  <si>
    <t xml:space="preserve">    ParedeIntQuarto2Sala,    !- Building Surface Name</t>
  </si>
  <si>
    <t xml:space="preserve">    PortaSalaQuarto2,        !- Outside Boundary Condition Object</t>
  </si>
  <si>
    <t xml:space="preserve">    0.9,                     !- Vertex 1 Y-coordinate {m}</t>
  </si>
  <si>
    <t xml:space="preserve">    0.9,                     !- Vertex 2 Y-coordinate {m}</t>
  </si>
  <si>
    <t xml:space="preserve">    -3.01338136829674e-032,  !- Vertex 2 Z-coordinate {m}</t>
  </si>
  <si>
    <t xml:space="preserve">    0.1,                     !- Vertex 3 Y-coordinate {m}</t>
  </si>
  <si>
    <t xml:space="preserve">    6.60684305691268e-033,   !- Vertex 3 Z-coordinate {m}</t>
  </si>
  <si>
    <t xml:space="preserve">    0.1,                     !- Vertex 4 Y-coordinate {m}</t>
  </si>
  <si>
    <t xml:space="preserve">    JanelaQuarto2,           !- Name</t>
  </si>
  <si>
    <t xml:space="preserve">    ParedeQuarto2Leste,      !- Building Surface Name</t>
  </si>
  <si>
    <t xml:space="preserve">    0.893359560312896,       !- Vertex 1 Y-coordinate {m}</t>
  </si>
  <si>
    <t xml:space="preserve">    0.893359560312896,       !- Vertex 2 Y-coordinate {m}</t>
  </si>
  <si>
    <t xml:space="preserve">    2.3933595603129,         !- Vertex 3 Y-coordinate {m}</t>
  </si>
  <si>
    <t xml:space="preserve">    2.3933595603129,         !- Vertex 4 Y-coordinate {m}</t>
  </si>
  <si>
    <t xml:space="preserve">    JanelaBanheiro,          !- Name</t>
  </si>
  <si>
    <t xml:space="preserve">    ParedeBanheiroOeste,     !- Building Surface Name</t>
  </si>
  <si>
    <t xml:space="preserve">    1.26,                    !- Vertex 1 Y-coordinate {m}</t>
  </si>
  <si>
    <t xml:space="preserve">    2.2,                     !- Vertex 1 Z-coordinate {m}</t>
  </si>
  <si>
    <t xml:space="preserve">    1.26,                    !- Vertex 2 Y-coordinate {m}</t>
  </si>
  <si>
    <t xml:space="preserve">    1.5,                     !- Vertex 2 Z-coordinate {m}</t>
  </si>
  <si>
    <t xml:space="preserve">    0.559999999999998,       !- Vertex 3 Y-coordinate {m}</t>
  </si>
  <si>
    <t xml:space="preserve">    1.5,                     !- Vertex 3 Z-coordinate {m}</t>
  </si>
  <si>
    <t xml:space="preserve">    0.559999999999998,       !- Vertex 4 Y-coordinate {m}</t>
  </si>
  <si>
    <t xml:space="preserve">    2.2;                     !- Vertex 4 Z-coordinate {m}</t>
  </si>
  <si>
    <t xml:space="preserve">    Porta4,                  !- Name</t>
  </si>
  <si>
    <t xml:space="preserve">    ParedeIntBanheiroSala2,  !- Building Surface Name</t>
  </si>
  <si>
    <t xml:space="preserve">    Porta4,                  !- Outside Boundary Condition Object</t>
  </si>
  <si>
    <t xml:space="preserve">    0.0999999999999967,      !- Vertex 1 Y-coordinate {m}</t>
  </si>
  <si>
    <t xml:space="preserve">    0.0999999999999967,      !- Vertex 2 Y-coordinate {m}</t>
  </si>
  <si>
    <t xml:space="preserve">    0.899999999999997,       !- Vertex 3 Y-coordinate {m}</t>
  </si>
  <si>
    <t xml:space="preserve">    0.899999999999997,       !- Vertex 4 Y-coordinate {m}</t>
  </si>
  <si>
    <t>WindowProperty:FrameAndDivider,</t>
  </si>
  <si>
    <t xml:space="preserve">    Window Property Frame And Divider 1,  !- Name</t>
  </si>
  <si>
    <t xml:space="preserve">    0.05081016,              !- Frame Width {m}</t>
  </si>
  <si>
    <t xml:space="preserve">    0.05081016,              !- Frame Outside Projection {m}</t>
  </si>
  <si>
    <t xml:space="preserve">    0.05081016,              !- Frame Inside Projection {m}</t>
  </si>
  <si>
    <t xml:space="preserve">    ,                        !- Frame Conductance {W/m2-K}</t>
  </si>
  <si>
    <t xml:space="preserve">    1,                       !- Ratio of Frame-Edge Glass Conductance to Center-Of-Glass Conductance</t>
  </si>
  <si>
    <t xml:space="preserve">    0.7,                     !- Frame Solar Absorptance</t>
  </si>
  <si>
    <t xml:space="preserve">    0.7,                     !- Frame Visible Absorptance</t>
  </si>
  <si>
    <t xml:space="preserve">    0.9,                     !- Frame Thermal Hemispherical Emissivity</t>
  </si>
  <si>
    <t xml:space="preserve">    DividedLite,             !- Divider Type</t>
  </si>
  <si>
    <t xml:space="preserve">    0,                       !- Divider Width {m}</t>
  </si>
  <si>
    <t xml:space="preserve">    0,                       !- Number of Horizontal Dividers</t>
  </si>
  <si>
    <t xml:space="preserve">    0,                       !- Number of Vertical Dividers</t>
  </si>
  <si>
    <t xml:space="preserve">    0,                       !- Divider Outside Projection {m}</t>
  </si>
  <si>
    <t xml:space="preserve">    0,                       !- Divider Inside Projection {m}</t>
  </si>
  <si>
    <t xml:space="preserve">    0,                       !- Divider Conductance {W/m2-K}</t>
  </si>
  <si>
    <t xml:space="preserve">    1,                       !- Ratio of Divider-Edge Glass Conductance to Center-Of-Glass Conductance</t>
  </si>
  <si>
    <t xml:space="preserve">    0,                       !- Divider Solar Absorptance</t>
  </si>
  <si>
    <t xml:space="preserve">    0,                       !- Divider Visible Absorptance</t>
  </si>
  <si>
    <t xml:space="preserve">    0.9,                     !- Divider Thermal Hemispherical Emissivity</t>
  </si>
  <si>
    <t xml:space="preserve">    0,                       !- Outside Reveal Solar Absorptance</t>
  </si>
  <si>
    <t xml:space="preserve">    0,                       !- Inside Sill Depth {m}</t>
  </si>
  <si>
    <t xml:space="preserve">    0,                       !- Inside Sill Solar Absorptance</t>
  </si>
  <si>
    <t xml:space="preserve">    0,                       !- Inside Reveal Depth {m}</t>
  </si>
  <si>
    <t xml:space="preserve">    0;                       !- Inside Reveal Solar Absorptance</t>
  </si>
  <si>
    <t>Shading:Building:Detailed,</t>
  </si>
  <si>
    <t xml:space="preserve">    Shading Surface 1,       !- Name</t>
  </si>
  <si>
    <t xml:space="preserve">    ,                        !- Transmittance Schedule Name</t>
  </si>
  <si>
    <t xml:space="preserve">    3.66096807381523,        !- Vertex 1 X-coordinate {m}</t>
  </si>
  <si>
    <t xml:space="preserve">    7.30500003752648,        !- Vertex 1 Y-coordinate {m}</t>
  </si>
  <si>
    <t xml:space="preserve">    4.1,                     !- Vertex 1 Z-coordinate {m}</t>
  </si>
  <si>
    <t xml:space="preserve">    -0.134031926184765,      !- Vertex 2 X-coordinate {m}</t>
  </si>
  <si>
    <t xml:space="preserve">    7.30500003752648,        !- Vertex 2 Y-coordinate {m}</t>
  </si>
  <si>
    <t xml:space="preserve">    2.48755690440061,        !- Vertex 2 Z-coordinate {m}</t>
  </si>
  <si>
    <t xml:space="preserve">    -0.134031926184765,      !- Vertex 3 X-coordinate {m}</t>
  </si>
  <si>
    <t xml:space="preserve">    -0.424999962473524,      !- Vertex 3 Y-coordinate {m}</t>
  </si>
  <si>
    <t xml:space="preserve">    2.48755690440061,        !- Vertex 3 Z-coordinate {m}</t>
  </si>
  <si>
    <t xml:space="preserve">    3.66096807381523,        !- Vertex 4 X-coordinate {m}</t>
  </si>
  <si>
    <t xml:space="preserve">    -0.424999962473524,      !- Vertex 4 Y-coordinate {m}</t>
  </si>
  <si>
    <t xml:space="preserve">    4.1,                     !- Vertex 4 Z-coordinate {m}</t>
  </si>
  <si>
    <t xml:space="preserve">    3.66096807381523,        !- Vertex 5 X-coordinate {m}</t>
  </si>
  <si>
    <t xml:space="preserve">    0.075000037526476,       !- Vertex 5 Y-coordinate {m}</t>
  </si>
  <si>
    <t xml:space="preserve">    4.1,                     !- Vertex 5 Z-coordinate {m}</t>
  </si>
  <si>
    <t xml:space="preserve">    0.365968073815235,       !- Vertex 6 X-coordinate {m}</t>
  </si>
  <si>
    <t xml:space="preserve">    0.075000037526476,       !- Vertex 6 Y-coordinate {m}</t>
  </si>
  <si>
    <t xml:space="preserve">    2.7,                     !- Vertex 6 Z-coordinate {m}</t>
  </si>
  <si>
    <t xml:space="preserve">    0.365968073815235,       !- Vertex 7 X-coordinate {m}</t>
  </si>
  <si>
    <t xml:space="preserve">    6.80500003752648,        !- Vertex 7 Y-coordinate {m}</t>
  </si>
  <si>
    <t xml:space="preserve">    2.7,                     !- Vertex 7 Z-coordinate {m}</t>
  </si>
  <si>
    <t xml:space="preserve">    3.66096807381523,        !- Vertex 8 X-coordinate {m}</t>
  </si>
  <si>
    <t xml:space="preserve">    6.80500003752648,        !- Vertex 8 Y-coordinate {m}</t>
  </si>
  <si>
    <t xml:space="preserve">    4.1;                     !- Vertex 8 Z-coordinate {m}</t>
  </si>
  <si>
    <t xml:space="preserve">    Shading Surface 2,       !- Name</t>
  </si>
  <si>
    <t xml:space="preserve">    3.66096807381524,        !- Vertex 1 X-coordinate {m}</t>
  </si>
  <si>
    <t xml:space="preserve">    -0.424999962473524,      !- Vertex 1 Y-coordinate {m}</t>
  </si>
  <si>
    <t xml:space="preserve">    4.73596807381524,        !- Vertex 2 X-coordinate {m}</t>
  </si>
  <si>
    <t xml:space="preserve">    -0.424999962473524,      !- Vertex 2 Y-coordinate {m}</t>
  </si>
  <si>
    <t xml:space="preserve">    3.64324734446131,        !- Vertex 2 Z-coordinate {m}</t>
  </si>
  <si>
    <t xml:space="preserve">    4.73596807381524,        !- Vertex 3 X-coordinate {m}</t>
  </si>
  <si>
    <t xml:space="preserve">    0.575000037526475,       !- Vertex 3 Y-coordinate {m}</t>
  </si>
  <si>
    <t xml:space="preserve">    3.64324734446131,        !- Vertex 3 Z-coordinate {m}</t>
  </si>
  <si>
    <t xml:space="preserve">    7.45596807381523,        !- Vertex 4 X-coordinate {m}</t>
  </si>
  <si>
    <t xml:space="preserve">    0.575000037526474,       !- Vertex 4 Y-coordinate {m}</t>
  </si>
  <si>
    <t xml:space="preserve">    2.48755690440061,        !- Vertex 4 Z-coordinate {m}</t>
  </si>
  <si>
    <t xml:space="preserve">    7.45596807381523,        !- Vertex 5 X-coordinate {m}</t>
  </si>
  <si>
    <t xml:space="preserve">    7.81500003752651,        !- Vertex 5 Y-coordinate {m}</t>
  </si>
  <si>
    <t xml:space="preserve">    2.48755690440061,        !- Vertex 5 Z-coordinate {m}</t>
  </si>
  <si>
    <t xml:space="preserve">    3.66096807381524,        !- Vertex 6 X-coordinate {m}</t>
  </si>
  <si>
    <t xml:space="preserve">    7.81500003752651,        !- Vertex 6 Y-coordinate {m}</t>
  </si>
  <si>
    <t xml:space="preserve">    4.1,                     !- Vertex 6 Z-coordinate {m}</t>
  </si>
  <si>
    <t xml:space="preserve">    3.66096807381524,        !- Vertex 7 X-coordinate {m}</t>
  </si>
  <si>
    <t xml:space="preserve">    4.1,                     !- Vertex 7 Z-coordinate {m}</t>
  </si>
  <si>
    <t xml:space="preserve">    4.23596807381524,        !- Vertex 8 X-coordinate {m}</t>
  </si>
  <si>
    <t xml:space="preserve">    3.8556904400607,         !- Vertex 8 Z-coordinate {m}</t>
  </si>
  <si>
    <t xml:space="preserve">    4.23596807381524,        !- Vertex 9 X-coordinate {m}</t>
  </si>
  <si>
    <t xml:space="preserve">    7.3150000375265,         !- Vertex 9 Y-coordinate {m}</t>
  </si>
  <si>
    <t xml:space="preserve">    3.8556904400607,         !- Vertex 9 Z-coordinate {m}</t>
  </si>
  <si>
    <t xml:space="preserve">    6.95596807381523,        !- Vertex 10 X-coordinate {m}</t>
  </si>
  <si>
    <t xml:space="preserve">    7.3150000375265,         !- Vertex 10 Y-coordinate {m}</t>
  </si>
  <si>
    <t xml:space="preserve">    2.7,                     !- Vertex 10 Z-coordinate {m}</t>
  </si>
  <si>
    <t xml:space="preserve">    6.95596807381523,        !- Vertex 11 X-coordinate {m}</t>
  </si>
  <si>
    <t xml:space="preserve">    1.07500003752648,        !- Vertex 11 Y-coordinate {m}</t>
  </si>
  <si>
    <t xml:space="preserve">    2.7,                     !- Vertex 11 Z-coordinate {m}</t>
  </si>
  <si>
    <t xml:space="preserve">    4.23596807381524,        !- Vertex 12 X-coordinate {m}</t>
  </si>
  <si>
    <t xml:space="preserve">    1.07500003752648,        !- Vertex 12 Y-coordinate {m}</t>
  </si>
  <si>
    <t xml:space="preserve">    3.8556904400607,         !- Vertex 12 Z-coordinate {m}</t>
  </si>
  <si>
    <t xml:space="preserve">    4.23596807381524,        !- Vertex 13 X-coordinate {m}</t>
  </si>
  <si>
    <t xml:space="preserve">    0.075000037526476,       !- Vertex 13 Y-coordinate {m}</t>
  </si>
  <si>
    <t xml:space="preserve">    3.8556904400607,         !- Vertex 13 Z-coordinate {m}</t>
  </si>
  <si>
    <t xml:space="preserve">    3.66096807381524,        !- Vertex 14 X-coordinate {m}</t>
  </si>
  <si>
    <t xml:space="preserve">    0.075000037526476,       !- Vertex 14 Y-coordinate {m}</t>
  </si>
  <si>
    <t xml:space="preserve">    4.1;                     !- Vertex 14 Z-coordinate {m}</t>
  </si>
  <si>
    <t>GroundHeatTransfer:Control,</t>
  </si>
  <si>
    <t xml:space="preserve">    contrl1,                 !- Name</t>
  </si>
  <si>
    <t xml:space="preserve">    No,                      !- Run Basement Preprocessor</t>
  </si>
  <si>
    <t xml:space="preserve">    Yes;                     !- Run Slab Preprocessor</t>
  </si>
  <si>
    <t>GroundHeatTransfer:Slab:Materials,</t>
  </si>
  <si>
    <t xml:space="preserve">    2,                       !- NMAT: Number of materials</t>
  </si>
  <si>
    <t xml:space="preserve">    0.2,                     !- ALBEDO: Surface Albedo: No Snow</t>
  </si>
  <si>
    <t xml:space="preserve">    0.4,                     !- ALBEDO: Surface Albedo: Snow</t>
  </si>
  <si>
    <t xml:space="preserve">    0.95,                    !- EPSLW: Surface Emissivity: No Snow</t>
  </si>
  <si>
    <t xml:space="preserve">    0.95,                    !- EPSLW: Surface Emissivity: Snow</t>
  </si>
  <si>
    <t xml:space="preserve">    0.75,                    !- Z0: Surface Roughness: No Snow {cm}</t>
  </si>
  <si>
    <t xml:space="preserve">    0.05,                    !- Z0: Surface Roughness: Snow {cm}</t>
  </si>
  <si>
    <t xml:space="preserve">    6.13,                    !- HIN: Indoor HConv: Downward Flow {W/m2-K}</t>
  </si>
  <si>
    <t xml:space="preserve">    9.26;                    !- HIN: Indoor HConv: Upward {W/m2-K}</t>
  </si>
  <si>
    <t>GroundHeatTransfer:Slab:MatlProps,</t>
  </si>
  <si>
    <t xml:space="preserve">    2300,                    !- RHO: Slab Material density {kg/m3}</t>
  </si>
  <si>
    <t xml:space="preserve">    1200,                    !- RHO: Soil Density {kg/m3}</t>
  </si>
  <si>
    <t xml:space="preserve">    650,                     !- CP: Slab CP {J/kg-K}</t>
  </si>
  <si>
    <t xml:space="preserve">    1200,                    !- CP: Soil CP {J/kg-K}</t>
  </si>
  <si>
    <t xml:space="preserve">    0.9,                     !- TCON: Slab k {W/m-K}</t>
  </si>
  <si>
    <t xml:space="preserve">    1;                       !- TCON: Soil k {W/m-K}</t>
  </si>
  <si>
    <t>GroundHeatTransfer:Slab:BoundConds,</t>
  </si>
  <si>
    <t xml:space="preserve">    TRUE,                    !- EVTR: Is surface evapotranspiration modeled</t>
  </si>
  <si>
    <t xml:space="preserve">    FALSE,                   !- FIXBC: is the lower boundary at a fixed temperature</t>
  </si>
  <si>
    <t xml:space="preserve">    ,                        !- TDEEPin {C}</t>
  </si>
  <si>
    <t xml:space="preserve">    FALSE;                   !- USRHflag: Is the ground surface h specified by the user?</t>
  </si>
  <si>
    <t>GroundHeatTransfer:Slab:BldgProps,</t>
  </si>
  <si>
    <t xml:space="preserve">    10,                      !- IYRS: Number of years to iterate</t>
  </si>
  <si>
    <t xml:space="preserve">    0,                       !- Shape: Slab shape</t>
  </si>
  <si>
    <t xml:space="preserve">    4.06,                    !- HBLDG: Building height {m}</t>
  </si>
  <si>
    <t xml:space="preserve">    24.90183493,             !- TIN1: January Indoor Average Temperature Setpoint {C}</t>
  </si>
  <si>
    <t xml:space="preserve">    25.23052237,             !- TIN2: February Indoor Average Temperature Setpoint {C}</t>
  </si>
  <si>
    <t xml:space="preserve">    24.00765498,             !- TIN3: March Indoor Average Temperature Setpoint {C}</t>
  </si>
  <si>
    <t xml:space="preserve">    22.49555339,             !- TIN4: April Indoor Average Temperature Setpoint {C}</t>
  </si>
  <si>
    <t xml:space="preserve">    20.08061636,             !- TIN5: May Indoor Average Temperature Setpoint {C}</t>
  </si>
  <si>
    <t xml:space="preserve">    18.38062002,             !- TIN6: June Indoor Average Temperature Setpoint {C}</t>
  </si>
  <si>
    <t xml:space="preserve">    18.68189419,             !- TIN7: July Indoor Average Temperature Setpoint {C}</t>
  </si>
  <si>
    <t xml:space="preserve">    19.49357071,             !- TIN8: August Indoor Average Temperature Setpoint {C}</t>
  </si>
  <si>
    <t xml:space="preserve">    19.96869097,             !- TIN9: September Indoor Average Temperature Setpoint {C}</t>
  </si>
  <si>
    <t xml:space="preserve">    21.68720207,             !- TIN10: October Indoor Average Temperature Setpoint {C}</t>
  </si>
  <si>
    <t xml:space="preserve">    23.5881527,              !- TIN11: November Indoor Average Temperature Setpoint {C}</t>
  </si>
  <si>
    <t xml:space="preserve">    24.47261983,             !- TIN12: December Indoor Average Temperature Setpoint {C}</t>
  </si>
  <si>
    <t xml:space="preserve">    0,                       !- TINAmp: Daily Indoor sine wave variation amplitude {deltaC}</t>
  </si>
  <si>
    <t xml:space="preserve">    0.1;                     !- ConvTol: Convergence Tolerance</t>
  </si>
  <si>
    <t>GroundHeatTransfer:Slab:Insulation,</t>
  </si>
  <si>
    <t xml:space="preserve">    0,                       !- RINS: R value of under slab insulation {m2-K/W}</t>
  </si>
  <si>
    <t xml:space="preserve">    0,                       !- DINS: Width of strip of under slab insulation {m}</t>
  </si>
  <si>
    <t xml:space="preserve">    0,                       !- RVINS: R value of vertical insulation {m2-K/W}</t>
  </si>
  <si>
    <t xml:space="preserve">    0,                       !- ZVINS: Depth of vertical insulation {m}</t>
  </si>
  <si>
    <t xml:space="preserve">    0;                       !- IVINS: Flag: Is there vertical insulation</t>
  </si>
  <si>
    <t>GroundHeatTransfer:Slab:EquivalentSlab,</t>
  </si>
  <si>
    <t xml:space="preserve">    1.698,                   !- APRatio: The area to perimeter ratio for this slab {m}</t>
  </si>
  <si>
    <t xml:space="preserve">    0.2,                     !- SLABDEPTH: Thickness of slab on grade {m}</t>
  </si>
  <si>
    <t xml:space="preserve">    15,                      !- CLEARANCE: Distance from edge of slab to domain edge {m}</t>
  </si>
  <si>
    <t xml:space="preserve">    15;                      !- ZCLEARANCE: Distance from bottom of slab to domain bottom {m}</t>
  </si>
  <si>
    <t>People,</t>
  </si>
  <si>
    <t xml:space="preserve">    Ocupacao_Sala,           !- Name</t>
  </si>
  <si>
    <t xml:space="preserve">    Sala,                    !- Zone or ZoneList Name</t>
  </si>
  <si>
    <t xml:space="preserve">    Sch_Ocupacao_Sala,       !- Number of People Schedule Name</t>
  </si>
  <si>
    <t xml:space="preserve">    People,                  !- Number of People Calculation Method</t>
  </si>
  <si>
    <t xml:space="preserve">    4,                       !- Number of People</t>
  </si>
  <si>
    <t xml:space="preserve">    ,                        !- People per Zone Floor Area {person/m2}</t>
  </si>
  <si>
    <t xml:space="preserve">    ,                        !- Zone Floor Area per Person {m2/person}</t>
  </si>
  <si>
    <t xml:space="preserve">    0.3,                     !- Fraction Radiant</t>
  </si>
  <si>
    <t xml:space="preserve">    autocalculate,           !- Sensible Heat Fraction</t>
  </si>
  <si>
    <t xml:space="preserve">    Sch_Atividade_Sala,      !- Activity Level Schedule Name</t>
  </si>
  <si>
    <t xml:space="preserve">    0.0000000382,            !- Carbon Dioxide Generation Rate {m3/s-W}</t>
  </si>
  <si>
    <t xml:space="preserve">    No,                      !- Enable ASHRAE 55 Comfort Warnings</t>
  </si>
  <si>
    <t xml:space="preserve">    ZoneAveraged,            !- Mean Radiant Temperature Calculation Type</t>
  </si>
  <si>
    <t xml:space="preserve">    ,                        !- Surface Name/Angle Factor List Name</t>
  </si>
  <si>
    <t xml:space="preserve">    ,                        !- Work Efficiency Schedule Name</t>
  </si>
  <si>
    <t xml:space="preserve">    ClothingInsulationSchedule;  !- Clothing Insulation Calculation Method</t>
  </si>
  <si>
    <t xml:space="preserve">    Ocupacao_Quarto1,        !- Name</t>
  </si>
  <si>
    <t xml:space="preserve">    Quarto1,                 !- Zone or ZoneList Name</t>
  </si>
  <si>
    <t xml:space="preserve">    Sch_Ocupacao_Quartos,    !- Number of People Schedule Name</t>
  </si>
  <si>
    <t xml:space="preserve">    2,                       !- Number of People</t>
  </si>
  <si>
    <t xml:space="preserve">    Sch_Atividade_Quarto,    !- Activity Level Schedule Name</t>
  </si>
  <si>
    <t xml:space="preserve">    Ocupacao_Quarto2,        !- Name</t>
  </si>
  <si>
    <t xml:space="preserve">    Quarto2,                 !- Zone or ZoneList Name</t>
  </si>
  <si>
    <t>Lights,</t>
  </si>
  <si>
    <t xml:space="preserve">    Iluminacao_Sala,         !- Name</t>
  </si>
  <si>
    <t xml:space="preserve">    Sch_Iluminacaio_Sala,    !- Schedule Name</t>
  </si>
  <si>
    <t xml:space="preserve">    Watts/Area,              !- Design Level Calculation Method</t>
  </si>
  <si>
    <t xml:space="preserve">    ,                        !- Lighting Level {W}</t>
  </si>
  <si>
    <t xml:space="preserve">    5,                       !- Watts per Zone Floor Area {W/m2}</t>
  </si>
  <si>
    <t xml:space="preserve">    ,                        !- Watts per Person {W/person}</t>
  </si>
  <si>
    <t xml:space="preserve">    ,                        !- Return Air Fraction</t>
  </si>
  <si>
    <t xml:space="preserve">    ,                        !- Fraction Radiant</t>
  </si>
  <si>
    <t xml:space="preserve">    ,                        !- Fraction Visible</t>
  </si>
  <si>
    <t xml:space="preserve">    1,                       !- Fraction Replaceable</t>
  </si>
  <si>
    <t xml:space="preserve">    General,                 !- End-Use Subcategory</t>
  </si>
  <si>
    <t xml:space="preserve">    No;                      !- Return Air Fraction Calculated from Plenum Temperature</t>
  </si>
  <si>
    <t xml:space="preserve">    Iluminacao_Quarto1,      !- Name</t>
  </si>
  <si>
    <t xml:space="preserve">    Sch_Ocupacao_Quartos,    !- Schedule Name</t>
  </si>
  <si>
    <t xml:space="preserve">    Iluminacao_Quarto2,      !- Name</t>
  </si>
  <si>
    <t>ElectricEquipment,</t>
  </si>
  <si>
    <t xml:space="preserve">    Equip_Sala,              !- Name</t>
  </si>
  <si>
    <t xml:space="preserve">    Sch_Equip_Sala,          !- Schedule Name</t>
  </si>
  <si>
    <t xml:space="preserve">    EquipmentLevel,          !- Design Level Calculation Method</t>
  </si>
  <si>
    <t xml:space="preserve">    120,                     !- Design Level {W}</t>
  </si>
  <si>
    <t xml:space="preserve">    ,                        !- Watts per Zone Floor Area {W/m2}</t>
  </si>
  <si>
    <t xml:space="preserve">    ,                        !- Fraction Latent</t>
  </si>
  <si>
    <t xml:space="preserve">    ,                        !- Fraction Lost</t>
  </si>
  <si>
    <t xml:space="preserve">    General;                 !- End-Use Subcategory</t>
  </si>
  <si>
    <t>ZoneInfiltration:DesignFlowRate,</t>
  </si>
  <si>
    <t xml:space="preserve">    Infiltracao_Sala,        !- Name</t>
  </si>
  <si>
    <t xml:space="preserve">    Sch_Infiltracao,         !- Schedule Name</t>
  </si>
  <si>
    <t xml:space="preserve">    AirChanges/Hour,         !- Design Flow Rate Calculation Method</t>
  </si>
  <si>
    <t xml:space="preserve">    ,                        !- Design Flow Rate {m3/s}</t>
  </si>
  <si>
    <t xml:space="preserve">    ,                        !- Flow per Zone Floor Area {m3/s-m2}</t>
  </si>
  <si>
    <t xml:space="preserve">    ,                        !- Flow per Exterior Surface Area {m3/s-m2}</t>
  </si>
  <si>
    <t xml:space="preserve">    0.3,                     !- Air Changes per Hour {1/hr}</t>
  </si>
  <si>
    <t xml:space="preserve">    1,                       !- Constant Term Coefficient</t>
  </si>
  <si>
    <t xml:space="preserve">    ,                        !- Temperature Term Coefficient</t>
  </si>
  <si>
    <t xml:space="preserve">    ,                        !- Velocity Term Coefficient</t>
  </si>
  <si>
    <t xml:space="preserve">    ;                        !- Velocity Squared Term Coefficient</t>
  </si>
  <si>
    <t xml:space="preserve">    Infiltracao_Quarto1,     !- Name</t>
  </si>
  <si>
    <t xml:space="preserve">    Infiltracao_Quarto2,     !- Name</t>
  </si>
  <si>
    <t xml:space="preserve">    Infiltracao_Banheiro,    !- Name</t>
  </si>
  <si>
    <t xml:space="preserve">    Banheiro,                !- Zone or ZoneList Name</t>
  </si>
  <si>
    <t xml:space="preserve">    Infiltracao_Telhado1,    !- Name</t>
  </si>
  <si>
    <t xml:space="preserve">    Telhado1,                !- Zone or ZoneList Name</t>
  </si>
  <si>
    <t xml:space="preserve">    Infiltracao_Telhado2,    !- Name</t>
  </si>
  <si>
    <t xml:space="preserve">    Telhado2,                !- Zone or ZoneList Name</t>
  </si>
  <si>
    <t xml:space="preserve">    Infiltracao_Telhado3,    !- Name</t>
  </si>
  <si>
    <t xml:space="preserve">    Telhado3,                !- Zone or ZoneList Name</t>
  </si>
  <si>
    <t>AirflowNetwork:MultiZone:Surface,</t>
  </si>
  <si>
    <t xml:space="preserve">    JanelaCozinha,           !- Surface Name</t>
  </si>
  <si>
    <t xml:space="preserve">    Janelas,                 !- Leakage Component Name</t>
  </si>
  <si>
    <t xml:space="preserve">    ,                        !- External Node Name</t>
  </si>
  <si>
    <t xml:space="preserve">    0.5,                     !- Window/Door Opening Factor, or Crack Factor {dimensionless}</t>
  </si>
  <si>
    <t xml:space="preserve">    Temperature,             !- Ventilation Control Mode</t>
  </si>
  <si>
    <t xml:space="preserve">    sch_setpointventilacao,  !- Ventilation Control Zone Temperature Setpoint Schedule Name</t>
  </si>
  <si>
    <t xml:space="preserve">    0,                       !- Minimum Venting Open Factor {dimensionless}</t>
  </si>
  <si>
    <t xml:space="preserve">    0,                       !- Indoor and Outdoor Temperature Difference Lower Limit For Maximum Venting Open Factor {deltaC}</t>
  </si>
  <si>
    <t xml:space="preserve">    100,                     !- Indoor and Outdoor Temperature Difference Upper Limit for Minimum Venting Open Factor {deltaC}</t>
  </si>
  <si>
    <t xml:space="preserve">    ,                        !- Indoor and Outdoor Enthalpy Difference Lower Limit For Maximum Venting Open Factor {deltaJ/kg}</t>
  </si>
  <si>
    <t xml:space="preserve">    300000,                  !- Indoor and Outdoor Enthalpy Difference Upper Limit for Minimum Venting Open Factor {deltaJ/kg}</t>
  </si>
  <si>
    <t xml:space="preserve">    sch_ventnatural_porta;   !- Venting Availability Schedule Name</t>
  </si>
  <si>
    <t xml:space="preserve">    JanelaSala,              !- Surface Name</t>
  </si>
  <si>
    <t xml:space="preserve">    JanelaQuarto1,           !- Surface Name</t>
  </si>
  <si>
    <t xml:space="preserve">    JanelaQuarto2,           !- Surface Name</t>
  </si>
  <si>
    <t xml:space="preserve">    JanelaBanheiro,          !- Surface Name</t>
  </si>
  <si>
    <t xml:space="preserve">    PortaSalaQuarto1,        !- Surface Name</t>
  </si>
  <si>
    <t xml:space="preserve">    PortaSalaQuarto2,        !- Surface Name</t>
  </si>
  <si>
    <t xml:space="preserve">    Portas,                  !- Leakage Component Name</t>
  </si>
  <si>
    <t xml:space="preserve">    1,                       !- Window/Door Opening Factor, or Crack Factor {dimensionless}</t>
  </si>
  <si>
    <t xml:space="preserve">    Porta1,                  !- Surface Name</t>
  </si>
  <si>
    <t xml:space="preserve">    Porta2,                  !- Surface Name</t>
  </si>
  <si>
    <t xml:space="preserve">    Porta,                   !- Surface Name</t>
  </si>
  <si>
    <t xml:space="preserve">    Porta4,                  !- Surface Name</t>
  </si>
  <si>
    <t>AirflowNetwork:MultiZone:Component:DetailedOpening,</t>
  </si>
  <si>
    <t xml:space="preserve">    0.00098,                 !- Air Mass Flow Coefficient When Opening is Closed {kg/s-m}</t>
  </si>
  <si>
    <t xml:space="preserve">    0.65,                    !- Air Mass Flow Exponent When Opening is Closed {dimensionless}</t>
  </si>
  <si>
    <t xml:space="preserve">    NonPivoted,              !- Type of Rectangular Large Vertical Opening (LVO)</t>
  </si>
  <si>
    <t xml:space="preserve">    0,                       !- Extra Crack Length or Height of Pivoting Axis {m}</t>
  </si>
  <si>
    <t xml:space="preserve">    3,                       !- Number of Sets of Opening Factor Data</t>
  </si>
  <si>
    <t xml:space="preserve">    0,                       !- Opening Factor 1 {dimensionless}</t>
  </si>
  <si>
    <t xml:space="preserve">    0.001,                   !- Discharge Coefficient for Opening Factor 1 {dimensionless}</t>
  </si>
  <si>
    <t xml:space="preserve">    0,                       !- Width Factor for Opening Factor 1 {dimensionless}</t>
  </si>
  <si>
    <t xml:space="preserve">    0,                       !- Height Factor for Opening Factor 1 {dimensionless}</t>
  </si>
  <si>
    <t xml:space="preserve">    0,                       !- Start Height Factor for Opening Factor 1 {dimensionless}</t>
  </si>
  <si>
    <t xml:space="preserve">    0.5,                     !- Opening Factor 2 {dimensionless}</t>
  </si>
  <si>
    <t xml:space="preserve">    0.7,                     !- Discharge Coefficient for Opening Factor 2 {dimensionless}</t>
  </si>
  <si>
    <t xml:space="preserve">    0.04,                    !- Width Factor for Opening Factor 2 {dimensionless}</t>
  </si>
  <si>
    <t xml:space="preserve">    1,                       !- Height Factor for Opening Factor 2 {dimensionless}</t>
  </si>
  <si>
    <t xml:space="preserve">    0,                       !- Start Height Factor for Opening Factor 2 {dimensionless}</t>
  </si>
  <si>
    <t xml:space="preserve">    1,                       !- Opening Factor 3 {dimensionless}</t>
  </si>
  <si>
    <t xml:space="preserve">    0.7,                     !- Discharge Coefficient for Opening Factor 3 {dimensionless}</t>
  </si>
  <si>
    <t xml:space="preserve">    0.5,                     !- Width Factor for Opening Factor 3 {dimensionless}</t>
  </si>
  <si>
    <t xml:space="preserve">    1,                       !- Height Factor for Opening Factor 3 {dimensionless}</t>
  </si>
  <si>
    <t xml:space="preserve">    0;                       !- Start Height Factor for Opening Factor 3 {dimensionless}</t>
  </si>
  <si>
    <t xml:space="preserve">    0.00102,                 !- Air Mass Flow Coefficient When Opening is Closed {kg/s-m}</t>
  </si>
  <si>
    <t xml:space="preserve">    2,                       !- Number of Sets of Opening Factor Data</t>
  </si>
  <si>
    <t xml:space="preserve">    1,                       !- Opening Factor 2 {dimensionless}</t>
  </si>
  <si>
    <t xml:space="preserve">    1,                       !- Width Factor for Opening Factor 2 {dimensionless}</t>
  </si>
  <si>
    <t xml:space="preserve">    0;                       !- Start Height Factor for Opening Factor 2 {dimensionless}</t>
  </si>
  <si>
    <t>HVACTemplate:Thermostat,</t>
  </si>
  <si>
    <t xml:space="preserve">    Termostato Conforto Givoni,  !- Name</t>
  </si>
  <si>
    <t xml:space="preserve">    ,                        !- Heating Setpoint Schedule Name</t>
  </si>
  <si>
    <t xml:space="preserve">    18,                      !- Constant Heating Setpoint {C}</t>
  </si>
  <si>
    <t xml:space="preserve">    ,                        !- Cooling Setpoint Schedule Name</t>
  </si>
  <si>
    <t xml:space="preserve">    26;                      !- Constant Cooling Setpoint {C}</t>
  </si>
  <si>
    <t>HVACTemplate:Zone:IdealLoadsAirSystem,</t>
  </si>
  <si>
    <t xml:space="preserve">    Termostato Conforto Givoni,  !- Template Thermostat Name</t>
  </si>
  <si>
    <t xml:space="preserve">    ,                        !- System Availability Schedule Name</t>
  </si>
  <si>
    <t xml:space="preserve">    50,                      !- Maximum Heating Supply Air Temperature {C}</t>
  </si>
  <si>
    <t xml:space="preserve">    13,                      !- Minimum Cooling Supply Air Temperature {C}</t>
  </si>
  <si>
    <t xml:space="preserve">    0.0156,                  !- Maximum Heating Supply Air Humidity Ratio {kgWater/kgDryAir}</t>
  </si>
  <si>
    <t xml:space="preserve">    0.0077,                  !- Minimum Cooling Supply Air Humidity Ratio {kgWater/kgDryAir}</t>
  </si>
  <si>
    <t xml:space="preserve">    NoLimit,                 !- Heating Limit</t>
  </si>
  <si>
    <t xml:space="preserve">    ,                        !- Maximum Heating Air Flow Rate {m3/s}</t>
  </si>
  <si>
    <t xml:space="preserve">    ,                        !- Maximum Sensible Heating Capacity {W}</t>
  </si>
  <si>
    <t xml:space="preserve">    NoLimit,                 !- Cooling Limit</t>
  </si>
  <si>
    <t xml:space="preserve">    ,                        !- Maximum Cooling Air Flow Rate {m3/s}</t>
  </si>
  <si>
    <t xml:space="preserve">    ,                        !- Maximum Total Cooling Capacity {W}</t>
  </si>
  <si>
    <t xml:space="preserve">    ,                        !- Heating Availability Schedule Name</t>
  </si>
  <si>
    <t xml:space="preserve">    ,                        !- Cooling Availability Schedule Name</t>
  </si>
  <si>
    <t xml:space="preserve">    ConstantSensibleHeatRatio,  !- Dehumidification Control Type</t>
  </si>
  <si>
    <t xml:space="preserve">    0.7,                     !- Cooling Sensible Heat Ratio {dimensionless}</t>
  </si>
  <si>
    <t xml:space="preserve">    60,                      !- Dehumidification Setpoint {percent}</t>
  </si>
  <si>
    <t xml:space="preserve">    None,                    !- Humidification Control Type</t>
  </si>
  <si>
    <t xml:space="preserve">    30,                      !- Humidification Setpoint {percent}</t>
  </si>
  <si>
    <t xml:space="preserve">    None,                    !- Outdoor Air Method</t>
  </si>
  <si>
    <t xml:space="preserve">    0.00944,                 !- Outdoor Air Flow Rate per Person {m3/s}</t>
  </si>
  <si>
    <t xml:space="preserve">    ,                        !- Outdoor Air Flow Rate per Zone Floor Area {m3/s-m2}</t>
  </si>
  <si>
    <t xml:space="preserve">    ,                        !- Outdoor Air Flow Rate per Zone {m3/s}</t>
  </si>
  <si>
    <t xml:space="preserve">    ,                        !- Design Specification Outdoor Air Object Name</t>
  </si>
  <si>
    <t xml:space="preserve">    None,                    !- Demand Controlled Ventilation Type</t>
  </si>
  <si>
    <t xml:space="preserve">    NoEconomizer,            !- Outdoor Air Economizer Type</t>
  </si>
  <si>
    <t xml:space="preserve">    None,                    !- Heat Recovery Type</t>
  </si>
  <si>
    <t xml:space="preserve">    0.7,                     !- Sensible Heat Recovery Effectiveness {dimensionless}</t>
  </si>
  <si>
    <t xml:space="preserve">    0.65;                    !- Latent Heat Recovery Effectiveness {dimensionless}</t>
  </si>
  <si>
    <t>Sizing:Parameters,</t>
  </si>
  <si>
    <t xml:space="preserve">    1.25,                    !- Heating Sizing Factor</t>
  </si>
  <si>
    <t xml:space="preserve">    1.15;                    !- Cooling Sizing Factor</t>
  </si>
  <si>
    <t>OutdoorAir:Node,</t>
  </si>
  <si>
    <t xml:space="preserve">    Model Outdoor Air Node;  !- Name</t>
  </si>
  <si>
    <t>Output:VariableDictionary,</t>
  </si>
  <si>
    <t xml:space="preserve">    IDF,                     !- Key Field</t>
  </si>
  <si>
    <t xml:space="preserve">    Unsorted;                !- Sort Option</t>
  </si>
  <si>
    <t>Output:Surfaces:Drawing,</t>
  </si>
  <si>
    <t xml:space="preserve">    DXF,                     !- Report Type</t>
  </si>
  <si>
    <t xml:space="preserve">    ThickPolyline;           !- Report Specifications 1</t>
  </si>
  <si>
    <t>Output:Table:SummaryReports,</t>
  </si>
  <si>
    <t xml:space="preserve">    AllSummary;              !- Report 1 Name</t>
  </si>
  <si>
    <t>OutputControl:Table:Style,</t>
  </si>
  <si>
    <t xml:space="preserve">    HTML;                    !- Column Separator</t>
  </si>
  <si>
    <t>Output:Variable,</t>
  </si>
  <si>
    <t xml:space="preserve">    *,                       !- Key Value</t>
  </si>
  <si>
    <t xml:space="preserve">    Site Outdoor Air Drybulb Temperature,  !- Variable Name</t>
  </si>
  <si>
    <t xml:space="preserve">    Hourly;                  !- Reporting Frequency</t>
  </si>
  <si>
    <t xml:space="preserve">    Site Outdoor Air Wetbulb Temperature,  !- Variable Name</t>
  </si>
  <si>
    <t xml:space="preserve">    Zone Operative Temperature,  !- Variable Name</t>
  </si>
  <si>
    <t xml:space="preserve">    Zone Mean Air Temperature,  !- Variable Name</t>
  </si>
  <si>
    <t xml:space="preserve">    Zone Ideal Loads Supply Air Sensible Heating Energy,  !- Variable Name</t>
  </si>
  <si>
    <t xml:space="preserve">    Zone Ideal Loads Supply Air Sensible Cooling Energy,  !- Variable Name</t>
  </si>
  <si>
    <t xml:space="preserve">    Zone Ideal Loads Zone Total Heating Energy,  !- Variable Name</t>
  </si>
  <si>
    <t xml:space="preserve">    Zone Ideal Loads Supply Air Total Cooling Energy,  !- Variable Name</t>
  </si>
  <si>
    <t xml:space="preserve">    Zone Ideal Loads Zone Total Cooling Energy,  !- Variable Name</t>
  </si>
  <si>
    <t>Output:Meter,</t>
  </si>
  <si>
    <t xml:space="preserve">    Heating:EnergyTransfer,  !- Key Name</t>
  </si>
  <si>
    <t xml:space="preserve">    Annual;                  !- Reporting Frequency</t>
  </si>
  <si>
    <t xml:space="preserve">    Cooling:EnergyTransfer,  !- Key Name</t>
  </si>
  <si>
    <t>Output:SQLite,</t>
  </si>
  <si>
    <t xml:space="preserve">    SimpleAndTabular;        !- Option Type</t>
  </si>
  <si>
    <t>!-   ===========  ALL OBJECTSIN CLASS: MATERIAL ===========</t>
  </si>
  <si>
    <t>Parede bloco concreto 9x19x39 c/ argamassa int e ext com la de rocha</t>
  </si>
  <si>
    <t>Parede bloco concreto 9x19x39 c/ argamassa int e ext com eps</t>
  </si>
  <si>
    <t>Após clicar no botão, basta simplesmente abrir o txt do energy, selecionar tudo (crtl +a) deletar e colar</t>
  </si>
  <si>
    <t>final</t>
  </si>
  <si>
    <t>vinid</t>
  </si>
  <si>
    <t>Building 1,!-Name</t>
  </si>
  <si>
    <t>0,                     !-North Axis {deg}</t>
  </si>
  <si>
    <t>,!-Terrain</t>
  </si>
  <si>
    <t>,!-Loads Convergence Tolerance Value</t>
  </si>
  <si>
    <t>,!-Temperature Convergence Tolerance Value {deltaC}</t>
  </si>
  <si>
    <t>,!-Solar Distribution</t>
  </si>
  <si>
    <t>,!-Maximum Number of Warmup Days</t>
  </si>
  <si>
    <t>;!-Minimum Number of Warmup Days</t>
  </si>
  <si>
    <t>Material,</t>
  </si>
  <si>
    <t>Cerâmica tijolo 9x9x24 parede sem revestimento,  !- Name</t>
  </si>
  <si>
    <t>Rough,!-Roughness</t>
  </si>
  <si>
    <t>0.014,!-Thickness {m}</t>
  </si>
  <si>
    <t>0.9,!-Conductivity {W/m-K}</t>
  </si>
  <si>
    <t>1600,!-Density {kg/m3}</t>
  </si>
  <si>
    <t>920,!-Specific Heat {J/kg-K}</t>
  </si>
  <si>
    <t>0.9,!-Thermal Absorptance</t>
  </si>
  <si>
    <t>0.7,!-Solar Absorptance</t>
  </si>
  <si>
    <t>0.7;!-Visible Absorptance</t>
  </si>
  <si>
    <t/>
  </si>
  <si>
    <t>Cerâmica tijolo 9x14x24 ,!-Name</t>
  </si>
  <si>
    <t>0.0134,!-Thickness {m}</t>
  </si>
  <si>
    <t>argamassa interna,!-Name</t>
  </si>
  <si>
    <t>0.025,!-Thickness {m}</t>
  </si>
  <si>
    <t>1.15,!-Conductivity {W/m-K}</t>
  </si>
  <si>
    <t>2000,!-Density {kg/m3}</t>
  </si>
  <si>
    <t>1000,!-Specific Heat {J/kg-K}</t>
  </si>
  <si>
    <t>gesso interno,!-Name</t>
  </si>
  <si>
    <t>0.02,!-Thickness {m}</t>
  </si>
  <si>
    <t>0.35,!-Conductivity {W/m-K}</t>
  </si>
  <si>
    <t>900,!-Density {kg/m3}</t>
  </si>
  <si>
    <t>870,!-Specific Heat {J/kg-K}</t>
  </si>
  <si>
    <t>Placa gesso,!-Name</t>
  </si>
  <si>
    <t>Granito ,!-Name</t>
  </si>
  <si>
    <t>3,!-Conductivity {W/m-K}</t>
  </si>
  <si>
    <t>2600,!-Density {kg/m3}</t>
  </si>
  <si>
    <t>800,!-Specific Heat {J/kg-K}</t>
  </si>
  <si>
    <t>Cerâmica tijolo 9x19x19,!-Name</t>
  </si>
  <si>
    <t>0.013,!-Thickness {m}</t>
  </si>
  <si>
    <t>Cerâmica tijolo 12x19x19,!-Name</t>
  </si>
  <si>
    <t>Cerâmica tijolo 14x19x29,!-Name</t>
  </si>
  <si>
    <t>0.0165,!-Thickness {m}</t>
  </si>
  <si>
    <t>Concreto bloco 9x19x39,!-Name</t>
  </si>
  <si>
    <t>0.0173,!-Thickness {m}</t>
  </si>
  <si>
    <t>1.75,!-Conductivity {W/m-K}</t>
  </si>
  <si>
    <t>2400,!-Density {kg/m3}</t>
  </si>
  <si>
    <t>Concreto bloco 14x19x39,!-Name</t>
  </si>
  <si>
    <t>0.03,!-Thickness {m}</t>
  </si>
  <si>
    <t>Cerâmica laje tavela 24x7x20,  !- Name</t>
  </si>
  <si>
    <t>0.012,!-Thickness {m}</t>
  </si>
  <si>
    <t>1.05,!-Conductivity {W/m-K}</t>
  </si>
  <si>
    <t>Concreto+EPS laje tavela30x7x125,  !- Name</t>
  </si>
  <si>
    <t>0.07,!-Thickness {m}</t>
  </si>
  <si>
    <t>0.223,!-Conductivity {W/m-K}</t>
  </si>
  <si>
    <t>373,!-Density {kg/m3}</t>
  </si>
  <si>
    <t>Piso cerâmico,!-Name</t>
  </si>
  <si>
    <t>0.075,!-Thickness {m}</t>
  </si>
  <si>
    <t>contrapiso laje 2 cm,!-Name</t>
  </si>
  <si>
    <t>gesso forro,!-Name</t>
  </si>
  <si>
    <t>0.01,!-Thickness {m}</t>
  </si>
  <si>
    <t>Concreto laje nervurada c/EPS,  !- Name</t>
  </si>
  <si>
    <t>2200,!-Density {kg/m3}</t>
  </si>
  <si>
    <t>argamassa laje pré-moldada,!- Name</t>
  </si>
  <si>
    <t>EPS mais concreto laje nervurada,  !- Name</t>
  </si>
  <si>
    <t>0.15,!-Thickness {m}</t>
  </si>
  <si>
    <t>0.287,!-Conductivity {W/m-K}</t>
  </si>
  <si>
    <t>401,!-Density {kg/m3}</t>
  </si>
  <si>
    <t>Concreto laje alveolar,!-Name</t>
  </si>
  <si>
    <t>0.05,!-Thickness {m}</t>
  </si>
  <si>
    <t>Concreto laje maciça,!-Name</t>
  </si>
  <si>
    <t>0.1,!-Thickness {m}</t>
  </si>
  <si>
    <t>Cêramica telha pre-moldada1,  !- Name</t>
  </si>
  <si>
    <t>0.3,!-Thermal Absorptance</t>
  </si>
  <si>
    <t>fibrocimento telha,!-Name</t>
  </si>
  <si>
    <t>0.08,!-Thickness {m}</t>
  </si>
  <si>
    <t>0.95,!-Conductivity {W/m-K}</t>
  </si>
  <si>
    <t>1900,!-Density {kg/m3}</t>
  </si>
  <si>
    <t>840,!-Specific Heat {J/kg-K}</t>
  </si>
  <si>
    <t>PVC forro,!-Name</t>
  </si>
  <si>
    <t>0.071,!-Conductivity {W/m-K}</t>
  </si>
  <si>
    <t>273,!-Density {kg/m3}</t>
  </si>
  <si>
    <t>960,!-Specific Heat {J/kg-K}</t>
  </si>
  <si>
    <t>Madeira forro,!-Name</t>
  </si>
  <si>
    <t>0.15,!-Conductivity {W/m-K}</t>
  </si>
  <si>
    <t>600,!-Density {kg/m3}</t>
  </si>
  <si>
    <t>1340,!-Specific Heat {J/kg-K}</t>
  </si>
  <si>
    <t>gesso forro laje nervurada,!- Name</t>
  </si>
  <si>
    <t>Concreto laje pre moldada,!- Name</t>
  </si>
  <si>
    <t>0.04,!-Thickness {m}</t>
  </si>
  <si>
    <t>Concreto laje nervurada c/câmara de ar,  !- Name</t>
  </si>
  <si>
    <t>0.0985,!-Thickness {m}</t>
  </si>
  <si>
    <t>argamassa externa,!-Name</t>
  </si>
  <si>
    <t>Cerâmica tijolo 14x9x24,!-Name</t>
  </si>
  <si>
    <t>0.019,!-Thickness {m}</t>
  </si>
  <si>
    <t>contrapiso laje 5 cm,!-Name</t>
  </si>
  <si>
    <t>Madeira,!-Name</t>
  </si>
  <si>
    <t>MediumRough,!-Roughness</t>
  </si>
  <si>
    <t>0.035,!-Thickness {m}</t>
  </si>
  <si>
    <t>0.7,!-Thermal Absorptance</t>
  </si>
  <si>
    <t>Aco,!-Name</t>
  </si>
  <si>
    <t>Smooth,!-Roughness</t>
  </si>
  <si>
    <t>55,!-Conductivity {W/m-K}</t>
  </si>
  <si>
    <t>7800,!-Density {kg/m3}</t>
  </si>
  <si>
    <t>460,!-Specific Heat {J/kg-K}</t>
  </si>
  <si>
    <t>0.25,!-Thermal Absorptance</t>
  </si>
  <si>
    <t>0.25,!-Solar Absorptance</t>
  </si>
  <si>
    <t>0.25;!-Visible Absorptance</t>
  </si>
  <si>
    <t>Parede  Tijolo cerâmico 9x14x24 c/ argamassa int e ext ,!- Construction Name</t>
  </si>
  <si>
    <t>Parede  Tijolo cerâmico 9x14x24 c/ argamassa int e ext,!- Construction Name</t>
  </si>
  <si>
    <t>Forro PVC,               !- Construction Name</t>
  </si>
  <si>
    <t>Parede  Tijolo cerâmico 9x14x24 c/ argamassa int e ext             ,  !- Construction Name</t>
  </si>
  <si>
    <t>Telha ceramica,!- Construction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</si>
</sst>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4" fontId="0" fillId="0" borderId="0" xfId="0" applyNumberFormat="1"/>
    <xf numFmtId="0" fontId="0" fillId="0" borderId="0" xfId="0" applyProtection="1"/>
    <xf numFmtId="0" fontId="0" fillId="0" borderId="0" xfId="0" applyProtection="1">
      <protection locked="0"/>
    </xf>
    <xf numFmtId="0" fontId="0" fillId="2" borderId="0" xfId="0" applyFill="1"/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1" xfId="0" applyBorder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6" fmlaLink="orientacao!$A$13" fmlaRange="orientacao!$A$14:$A$17" noThreeD="1" sel="1" val="0"/>
</file>

<file path=xl/ctrlProps/ctrlProp2.xml><?xml version="1.0" encoding="utf-8"?>
<formControlPr xmlns="http://schemas.microsoft.com/office/spreadsheetml/2009/9/main" objectType="Drop" dropStyle="combo" dx="26" fmlaLink="'cor telha'!$A$367" fmlaRange="'cor telha'!$A$1048575:$A$1048576" noThreeD="1" sel="1" val="0"/>
</file>

<file path=xl/ctrlProps/ctrlProp3.xml><?xml version="1.0" encoding="utf-8"?>
<formControlPr xmlns="http://schemas.microsoft.com/office/spreadsheetml/2009/9/main" objectType="Drop" dropStyle="combo" dx="26" fmlaLink="constructions!$A$1048573" fmlaRange="constructions!$A$1048567:$A$1048572" noThreeD="1" sel="1" val="0"/>
</file>

<file path=xl/ctrlProps/ctrlProp4.xml><?xml version="1.0" encoding="utf-8"?>
<formControlPr xmlns="http://schemas.microsoft.com/office/spreadsheetml/2009/9/main" objectType="Drop" dropStyle="combo" dx="26" fmlaLink="constructions!$B$1048573" fmlaRange="constructions!$B$1048567:$B$1048569" noThreeD="1" sel="1" val="0"/>
</file>

<file path=xl/ctrlProps/ctrlProp5.xml><?xml version="1.0" encoding="utf-8"?>
<formControlPr xmlns="http://schemas.microsoft.com/office/spreadsheetml/2009/9/main" objectType="Drop" dropStyle="combo" dx="26" fmlaLink="constructions!$D$1048573" fmlaRange="constructions!$D$1048567:$D$1048568" noThreeD="1" sel="1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0</xdr:row>
          <xdr:rowOff>160020</xdr:rowOff>
        </xdr:from>
        <xdr:to>
          <xdr:col>3</xdr:col>
          <xdr:colOff>45720</xdr:colOff>
          <xdr:row>2</xdr:row>
          <xdr:rowOff>45720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15240</xdr:rowOff>
        </xdr:from>
        <xdr:to>
          <xdr:col>3</xdr:col>
          <xdr:colOff>45720</xdr:colOff>
          <xdr:row>4</xdr:row>
          <xdr:rowOff>83820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</xdr:row>
          <xdr:rowOff>0</xdr:rowOff>
        </xdr:from>
        <xdr:to>
          <xdr:col>7</xdr:col>
          <xdr:colOff>15240</xdr:colOff>
          <xdr:row>7</xdr:row>
          <xdr:rowOff>38100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22860</xdr:colOff>
          <xdr:row>9</xdr:row>
          <xdr:rowOff>22860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2065020</xdr:colOff>
          <xdr:row>9</xdr:row>
          <xdr:rowOff>175260</xdr:rowOff>
        </xdr:from>
        <xdr:to>
          <xdr:col>2</xdr:col>
          <xdr:colOff>601980</xdr:colOff>
          <xdr:row>11</xdr:row>
          <xdr:rowOff>15240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16</xdr:row>
          <xdr:rowOff>15240</xdr:rowOff>
        </xdr:from>
        <xdr:to>
          <xdr:col>3</xdr:col>
          <xdr:colOff>601980</xdr:colOff>
          <xdr:row>18</xdr:row>
          <xdr:rowOff>144780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20</xdr:row>
          <xdr:rowOff>0</xdr:rowOff>
        </xdr:from>
        <xdr:to>
          <xdr:col>4</xdr:col>
          <xdr:colOff>175260</xdr:colOff>
          <xdr:row>23</xdr:row>
          <xdr:rowOff>7620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S21"/>
  <sheetViews>
    <sheetView tabSelected="1" workbookViewId="0"/>
  </sheetViews>
  <sheetFormatPr defaultRowHeight="14.4" x14ac:dyDescent="0.3"/>
  <cols>
    <col min="1" max="1" width="30.21875" customWidth="1"/>
    <col min="7" max="7" width="12.6640625" customWidth="1"/>
    <col min="9" max="9" width="14.109375" customWidth="1"/>
    <col min="11" max="11" width="13" customWidth="1"/>
    <col min="12" max="12" width="13.5546875" customWidth="1"/>
    <col min="14" max="14" width="52.44140625" bestFit="1" customWidth="1"/>
    <col min="15" max="15" width="15" customWidth="1"/>
    <col min="16" max="16" width="10.77734375" bestFit="1" customWidth="1"/>
  </cols>
  <sheetData>
    <row r="1" spans="1:19" x14ac:dyDescent="0.3">
      <c r="A1" s="3" t="s">
        <v>1244</v>
      </c>
      <c r="K1" t="s">
        <v>432</v>
      </c>
    </row>
    <row r="2" spans="1:19" x14ac:dyDescent="0.3">
      <c r="A2" t="s">
        <v>5</v>
      </c>
      <c r="J2" s="10" t="s">
        <v>433</v>
      </c>
      <c r="K2" s="10"/>
      <c r="L2" s="10" t="s">
        <v>435</v>
      </c>
      <c r="M2" s="11"/>
      <c r="N2" s="10" t="s">
        <v>436</v>
      </c>
      <c r="O2" s="10"/>
      <c r="P2" s="10" t="s">
        <v>437</v>
      </c>
      <c r="Q2" s="10"/>
      <c r="R2" s="10" t="s">
        <v>438</v>
      </c>
      <c r="S2" s="10"/>
    </row>
    <row r="3" spans="1:19" x14ac:dyDescent="0.3">
      <c r="J3" s="6" t="s">
        <v>1</v>
      </c>
      <c r="K3" s="6">
        <v>10000</v>
      </c>
      <c r="L3" s="6">
        <v>0.3</v>
      </c>
      <c r="M3" s="7">
        <v>1000</v>
      </c>
      <c r="N3" s="5" t="s">
        <v>418</v>
      </c>
      <c r="O3" s="8">
        <v>100</v>
      </c>
      <c r="P3" s="6" t="s">
        <v>423</v>
      </c>
      <c r="Q3" s="6">
        <v>10</v>
      </c>
      <c r="R3" s="6" t="s">
        <v>429</v>
      </c>
      <c r="S3" s="6">
        <v>1</v>
      </c>
    </row>
    <row r="4" spans="1:19" x14ac:dyDescent="0.3">
      <c r="A4" t="s">
        <v>414</v>
      </c>
      <c r="J4" s="6" t="s">
        <v>434</v>
      </c>
      <c r="K4" s="6">
        <f>K3+$K$3</f>
        <v>20000</v>
      </c>
      <c r="L4" s="6">
        <v>0.7</v>
      </c>
      <c r="M4" s="7">
        <v>2000</v>
      </c>
      <c r="N4" s="5" t="s">
        <v>417</v>
      </c>
      <c r="O4" s="8">
        <v>200</v>
      </c>
      <c r="P4" s="6" t="s">
        <v>424</v>
      </c>
      <c r="Q4" s="6">
        <v>20</v>
      </c>
      <c r="R4" s="6" t="s">
        <v>430</v>
      </c>
      <c r="S4" s="6">
        <v>2</v>
      </c>
    </row>
    <row r="5" spans="1:19" x14ac:dyDescent="0.3">
      <c r="J5" s="6" t="s">
        <v>3</v>
      </c>
      <c r="K5" s="6">
        <f t="shared" ref="K5:K6" si="0">K4+$K$3</f>
        <v>30000</v>
      </c>
      <c r="N5" s="5" t="s">
        <v>419</v>
      </c>
      <c r="O5" s="8">
        <v>300</v>
      </c>
      <c r="P5" s="6" t="s">
        <v>425</v>
      </c>
      <c r="Q5" s="6">
        <v>30</v>
      </c>
    </row>
    <row r="6" spans="1:19" x14ac:dyDescent="0.3">
      <c r="J6" s="6" t="s">
        <v>4</v>
      </c>
      <c r="K6" s="6">
        <f t="shared" si="0"/>
        <v>40000</v>
      </c>
      <c r="N6" s="5" t="s">
        <v>420</v>
      </c>
      <c r="O6" s="8">
        <v>400</v>
      </c>
    </row>
    <row r="7" spans="1:19" x14ac:dyDescent="0.3">
      <c r="A7" t="s">
        <v>421</v>
      </c>
      <c r="N7" s="5" t="s">
        <v>1241</v>
      </c>
      <c r="O7" s="8">
        <v>500</v>
      </c>
    </row>
    <row r="8" spans="1:19" x14ac:dyDescent="0.3">
      <c r="N8" s="5" t="s">
        <v>1240</v>
      </c>
      <c r="O8" s="8">
        <v>600</v>
      </c>
    </row>
    <row r="9" spans="1:19" x14ac:dyDescent="0.3">
      <c r="A9" t="s">
        <v>426</v>
      </c>
    </row>
    <row r="10" spans="1:19" x14ac:dyDescent="0.3">
      <c r="O10" t="s">
        <v>439</v>
      </c>
    </row>
    <row r="11" spans="1:19" x14ac:dyDescent="0.3">
      <c r="A11" t="s">
        <v>431</v>
      </c>
      <c r="O11" t="s">
        <v>440</v>
      </c>
    </row>
    <row r="12" spans="1:19" x14ac:dyDescent="0.3">
      <c r="O12" t="s">
        <v>441</v>
      </c>
      <c r="P12">
        <f>K3+M3+O6+Q5+S4</f>
        <v>11432</v>
      </c>
    </row>
    <row r="13" spans="1:19" x14ac:dyDescent="0.3">
      <c r="B13">
        <f>orientacao!A13</f>
        <v>1</v>
      </c>
      <c r="C13">
        <f>'cor telha'!A367</f>
        <v>1</v>
      </c>
      <c r="D13">
        <f>constructions!A1048573</f>
        <v>1</v>
      </c>
      <c r="E13">
        <f>constructions!B1048573</f>
        <v>1</v>
      </c>
      <c r="F13">
        <f>constructions!D1048573</f>
        <v>1</v>
      </c>
      <c r="G13" s="9" t="s">
        <v>443</v>
      </c>
    </row>
    <row r="14" spans="1:19" x14ac:dyDescent="0.3">
      <c r="A14" t="s">
        <v>442</v>
      </c>
      <c r="B14">
        <f>B13*$K$3</f>
        <v>10000</v>
      </c>
      <c r="C14">
        <f>C13*$M$3</f>
        <v>1000</v>
      </c>
      <c r="D14">
        <f>D13*$O$3</f>
        <v>100</v>
      </c>
      <c r="E14">
        <f>E13*Q3</f>
        <v>10</v>
      </c>
      <c r="F14">
        <f>F13</f>
        <v>1</v>
      </c>
      <c r="G14" s="9">
        <f>SUM(B14:F14)</f>
        <v>11111</v>
      </c>
    </row>
    <row r="17" spans="1:6" x14ac:dyDescent="0.3">
      <c r="F17" t="s">
        <v>1242</v>
      </c>
    </row>
    <row r="21" spans="1:6" x14ac:dyDescent="0.3">
      <c r="A21" t="str">
        <f>CONCATENATE("C:\Users\",A1,"\Desktop\simu\",G14,".idf")</f>
        <v>C:\Users\vinid\Desktop\simu\11111.idf</v>
      </c>
    </row>
  </sheetData>
  <mergeCells count="5">
    <mergeCell ref="J2:K2"/>
    <mergeCell ref="L2:M2"/>
    <mergeCell ref="N2:O2"/>
    <mergeCell ref="P2:Q2"/>
    <mergeCell ref="R2:S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1</xdr:col>
                <xdr:colOff>15240</xdr:colOff>
                <xdr:row>16</xdr:row>
                <xdr:rowOff>15240</xdr:rowOff>
              </from>
              <to>
                <xdr:col>3</xdr:col>
                <xdr:colOff>601980</xdr:colOff>
                <xdr:row>18</xdr:row>
                <xdr:rowOff>144780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31" r:id="rId6" name="CommandButton2">
          <controlPr defaultSize="0" autoLine="0" r:id="rId7">
            <anchor moveWithCells="1">
              <from>
                <xdr:col>1</xdr:col>
                <xdr:colOff>7620</xdr:colOff>
                <xdr:row>20</xdr:row>
                <xdr:rowOff>0</xdr:rowOff>
              </from>
              <to>
                <xdr:col>4</xdr:col>
                <xdr:colOff>175260</xdr:colOff>
                <xdr:row>23</xdr:row>
                <xdr:rowOff>7620</xdr:rowOff>
              </to>
            </anchor>
          </controlPr>
        </control>
      </mc:Choice>
      <mc:Fallback>
        <control shapeId="1031" r:id="rId6" name="CommandButton2"/>
      </mc:Fallback>
    </mc:AlternateContent>
    <mc:AlternateContent xmlns:mc="http://schemas.openxmlformats.org/markup-compatibility/2006">
      <mc:Choice Requires="x14">
        <control shapeId="1025" r:id="rId8" name="Drop Down 1">
          <controlPr defaultSize="0" autoLine="0" autoPict="0">
            <anchor moveWithCells="1">
              <from>
                <xdr:col>1</xdr:col>
                <xdr:colOff>7620</xdr:colOff>
                <xdr:row>0</xdr:row>
                <xdr:rowOff>160020</xdr:rowOff>
              </from>
              <to>
                <xdr:col>3</xdr:col>
                <xdr:colOff>45720</xdr:colOff>
                <xdr:row>2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Drop Down 2">
          <controlPr defaultSize="0" autoLine="0" autoPict="0">
            <anchor moveWithCells="1">
              <from>
                <xdr:col>1</xdr:col>
                <xdr:colOff>7620</xdr:colOff>
                <xdr:row>3</xdr:row>
                <xdr:rowOff>15240</xdr:rowOff>
              </from>
              <to>
                <xdr:col>3</xdr:col>
                <xdr:colOff>45720</xdr:colOff>
                <xdr:row>4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Drop Down 3">
          <controlPr defaultSize="0" autoLine="0" autoPict="0">
            <anchor moveWithCells="1">
              <from>
                <xdr:col>1</xdr:col>
                <xdr:colOff>7620</xdr:colOff>
                <xdr:row>6</xdr:row>
                <xdr:rowOff>0</xdr:rowOff>
              </from>
              <to>
                <xdr:col>7</xdr:col>
                <xdr:colOff>15240</xdr:colOff>
                <xdr:row>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Drop Down 4">
          <controlPr defaultSize="0" autoLine="0" autoPict="0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22860</xdr:colOff>
                <xdr:row>9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2" name="Drop Down 5">
          <controlPr defaultSize="0" autoLine="0" autoPict="0">
            <anchor moveWithCells="1">
              <from>
                <xdr:col>0</xdr:col>
                <xdr:colOff>2065020</xdr:colOff>
                <xdr:row>9</xdr:row>
                <xdr:rowOff>175260</xdr:rowOff>
              </from>
              <to>
                <xdr:col>2</xdr:col>
                <xdr:colOff>601980</xdr:colOff>
                <xdr:row>11</xdr:row>
                <xdr:rowOff>15240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68135-3E7E-40D8-9A4D-3E8049D5CD78}">
  <sheetPr codeName="Planilha2"/>
  <dimension ref="A1:D1048574"/>
  <sheetViews>
    <sheetView topLeftCell="A1048558" workbookViewId="0">
      <selection activeCell="D1048573" sqref="D1048573"/>
    </sheetView>
  </sheetViews>
  <sheetFormatPr defaultRowHeight="14.4" x14ac:dyDescent="0.3"/>
  <cols>
    <col min="1" max="1" width="72" customWidth="1"/>
    <col min="2" max="2" width="19.6640625" bestFit="1" customWidth="1"/>
  </cols>
  <sheetData>
    <row r="1" spans="1:4" x14ac:dyDescent="0.3">
      <c r="A1" t="s">
        <v>41</v>
      </c>
      <c r="D1" t="str">
        <f>CONCATENATE(A1,B1)</f>
        <v>!-   ===========  ALL OBJECTS IN CLASS: BUILDINGSURFACE:DETAILED ===========</v>
      </c>
    </row>
    <row r="2" spans="1:4" x14ac:dyDescent="0.3">
      <c r="D2" t="str">
        <f t="shared" ref="D2:D65" si="0">CONCATENATE(A2,B2)</f>
        <v/>
      </c>
    </row>
    <row r="3" spans="1:4" x14ac:dyDescent="0.3">
      <c r="A3" t="s">
        <v>42</v>
      </c>
      <c r="D3" t="str">
        <f t="shared" si="0"/>
        <v>BuildingSurface:Detailed,</v>
      </c>
    </row>
    <row r="4" spans="1:4" x14ac:dyDescent="0.3">
      <c r="A4" t="s">
        <v>43</v>
      </c>
      <c r="D4" t="str">
        <f t="shared" si="0"/>
        <v xml:space="preserve">    ParedeIntSalaQuarto1,    !- Name</v>
      </c>
    </row>
    <row r="5" spans="1:4" x14ac:dyDescent="0.3">
      <c r="A5" t="s">
        <v>44</v>
      </c>
      <c r="D5" t="str">
        <f t="shared" si="0"/>
        <v xml:space="preserve">    Wall,                    !- Surface Type</v>
      </c>
    </row>
    <row r="6" spans="1:4" x14ac:dyDescent="0.3">
      <c r="A6" t="str">
        <f>A1048574</f>
        <v>Parede  Tijolo cerâmico 9x14x24 c/ argamassa int e ext</v>
      </c>
      <c r="B6" t="s">
        <v>416</v>
      </c>
      <c r="D6" t="str">
        <f t="shared" si="0"/>
        <v>Parede  Tijolo cerâmico 9x14x24 c/ argamassa int e ext ,!- Construction Name</v>
      </c>
    </row>
    <row r="7" spans="1:4" x14ac:dyDescent="0.3">
      <c r="A7" t="s">
        <v>45</v>
      </c>
      <c r="D7" t="str">
        <f t="shared" si="0"/>
        <v xml:space="preserve">    Sala,                    !- Zone Name</v>
      </c>
    </row>
    <row r="8" spans="1:4" x14ac:dyDescent="0.3">
      <c r="A8" t="s">
        <v>46</v>
      </c>
      <c r="D8" t="str">
        <f t="shared" si="0"/>
        <v xml:space="preserve">    Surface,                 !- Outside Boundary Condition</v>
      </c>
    </row>
    <row r="9" spans="1:4" x14ac:dyDescent="0.3">
      <c r="A9" t="s">
        <v>47</v>
      </c>
      <c r="D9" t="str">
        <f t="shared" si="0"/>
        <v xml:space="preserve">    ParedeIntQuarto1Sala,    !- Outside Boundary Condition Object</v>
      </c>
    </row>
    <row r="10" spans="1:4" x14ac:dyDescent="0.3">
      <c r="A10" t="s">
        <v>48</v>
      </c>
      <c r="D10" t="str">
        <f t="shared" si="0"/>
        <v xml:space="preserve">    NoSun,                   !- Sun Exposure</v>
      </c>
    </row>
    <row r="11" spans="1:4" x14ac:dyDescent="0.3">
      <c r="A11" t="s">
        <v>49</v>
      </c>
      <c r="D11" t="str">
        <f t="shared" si="0"/>
        <v xml:space="preserve">    NoWind,                  !- Wind Exposure</v>
      </c>
    </row>
    <row r="12" spans="1:4" x14ac:dyDescent="0.3">
      <c r="A12" t="s">
        <v>50</v>
      </c>
      <c r="D12" t="str">
        <f t="shared" si="0"/>
        <v xml:space="preserve">    ,                        !- View Factor to Ground</v>
      </c>
    </row>
    <row r="13" spans="1:4" x14ac:dyDescent="0.3">
      <c r="A13" t="s">
        <v>51</v>
      </c>
      <c r="D13" t="str">
        <f t="shared" si="0"/>
        <v xml:space="preserve">    ,                        !- Number of Vertices</v>
      </c>
    </row>
    <row r="14" spans="1:4" x14ac:dyDescent="0.3">
      <c r="A14" t="s">
        <v>52</v>
      </c>
      <c r="D14" t="str">
        <f t="shared" si="0"/>
        <v xml:space="preserve">    3.87,                    !- Vertex 1 X-coordinate {m}</v>
      </c>
    </row>
    <row r="15" spans="1:4" x14ac:dyDescent="0.3">
      <c r="A15" t="s">
        <v>53</v>
      </c>
      <c r="D15" t="str">
        <f t="shared" si="0"/>
        <v xml:space="preserve">    0.999999999999998,       !- Vertex 1 Y-coordinate {m}</v>
      </c>
    </row>
    <row r="16" spans="1:4" x14ac:dyDescent="0.3">
      <c r="A16" t="s">
        <v>54</v>
      </c>
      <c r="D16" t="str">
        <f t="shared" si="0"/>
        <v xml:space="preserve">    2.7,                     !- Vertex 1 Z-coordinate {m}</v>
      </c>
    </row>
    <row r="17" spans="1:4" x14ac:dyDescent="0.3">
      <c r="A17" t="s">
        <v>55</v>
      </c>
      <c r="D17" t="str">
        <f t="shared" si="0"/>
        <v xml:space="preserve">    3.87,                    !- Vertex 2 X-coordinate {m}</v>
      </c>
    </row>
    <row r="18" spans="1:4" x14ac:dyDescent="0.3">
      <c r="A18" t="s">
        <v>56</v>
      </c>
      <c r="D18" t="str">
        <f t="shared" si="0"/>
        <v xml:space="preserve">    0.999999999999998,       !- Vertex 2 Y-coordinate {m}</v>
      </c>
    </row>
    <row r="19" spans="1:4" x14ac:dyDescent="0.3">
      <c r="A19" t="s">
        <v>57</v>
      </c>
      <c r="D19" t="str">
        <f t="shared" si="0"/>
        <v xml:space="preserve">    0,                       !- Vertex 2 Z-coordinate {m}</v>
      </c>
    </row>
    <row r="20" spans="1:4" x14ac:dyDescent="0.3">
      <c r="A20" t="s">
        <v>58</v>
      </c>
      <c r="D20" t="str">
        <f t="shared" si="0"/>
        <v xml:space="preserve">    3.87,                    !- Vertex 3 X-coordinate {m}</v>
      </c>
    </row>
    <row r="21" spans="1:4" x14ac:dyDescent="0.3">
      <c r="A21" t="s">
        <v>59</v>
      </c>
      <c r="D21" t="str">
        <f t="shared" si="0"/>
        <v xml:space="preserve">    3.95328087937421,        !- Vertex 3 Y-coordinate {m}</v>
      </c>
    </row>
    <row r="22" spans="1:4" x14ac:dyDescent="0.3">
      <c r="A22" t="s">
        <v>60</v>
      </c>
      <c r="D22" t="str">
        <f t="shared" si="0"/>
        <v xml:space="preserve">    0,                       !- Vertex 3 Z-coordinate {m}</v>
      </c>
    </row>
    <row r="23" spans="1:4" x14ac:dyDescent="0.3">
      <c r="A23" t="s">
        <v>61</v>
      </c>
      <c r="D23" t="str">
        <f t="shared" si="0"/>
        <v xml:space="preserve">    3.87,                    !- Vertex 4 X-coordinate {m}</v>
      </c>
    </row>
    <row r="24" spans="1:4" x14ac:dyDescent="0.3">
      <c r="A24" t="s">
        <v>62</v>
      </c>
      <c r="D24" t="str">
        <f t="shared" si="0"/>
        <v xml:space="preserve">    3.95328087937421,        !- Vertex 4 Y-coordinate {m}</v>
      </c>
    </row>
    <row r="25" spans="1:4" x14ac:dyDescent="0.3">
      <c r="A25" t="s">
        <v>63</v>
      </c>
      <c r="D25" t="str">
        <f t="shared" si="0"/>
        <v xml:space="preserve">    2.7;                     !- Vertex 4 Z-coordinate {m}</v>
      </c>
    </row>
    <row r="26" spans="1:4" x14ac:dyDescent="0.3">
      <c r="D26" t="str">
        <f t="shared" si="0"/>
        <v/>
      </c>
    </row>
    <row r="27" spans="1:4" x14ac:dyDescent="0.3">
      <c r="A27" t="s">
        <v>42</v>
      </c>
      <c r="D27" t="str">
        <f t="shared" si="0"/>
        <v>BuildingSurface:Detailed,</v>
      </c>
    </row>
    <row r="28" spans="1:4" x14ac:dyDescent="0.3">
      <c r="A28" t="s">
        <v>64</v>
      </c>
      <c r="D28" t="str">
        <f t="shared" si="0"/>
        <v xml:space="preserve">    ParedeIntSalaQuarto2,    !- Name</v>
      </c>
    </row>
    <row r="29" spans="1:4" x14ac:dyDescent="0.3">
      <c r="A29" t="s">
        <v>44</v>
      </c>
      <c r="D29" t="str">
        <f t="shared" si="0"/>
        <v xml:space="preserve">    Wall,                    !- Surface Type</v>
      </c>
    </row>
    <row r="30" spans="1:4" x14ac:dyDescent="0.3">
      <c r="A30" t="str">
        <f>A1048574</f>
        <v>Parede  Tijolo cerâmico 9x14x24 c/ argamassa int e ext</v>
      </c>
      <c r="B30" t="s">
        <v>416</v>
      </c>
      <c r="D30" t="str">
        <f t="shared" si="0"/>
        <v>Parede  Tijolo cerâmico 9x14x24 c/ argamassa int e ext ,!- Construction Name</v>
      </c>
    </row>
    <row r="31" spans="1:4" x14ac:dyDescent="0.3">
      <c r="A31" t="s">
        <v>45</v>
      </c>
      <c r="D31" t="str">
        <f t="shared" si="0"/>
        <v xml:space="preserve">    Sala,                    !- Zone Name</v>
      </c>
    </row>
    <row r="32" spans="1:4" x14ac:dyDescent="0.3">
      <c r="A32" t="s">
        <v>46</v>
      </c>
      <c r="D32" t="str">
        <f t="shared" si="0"/>
        <v xml:space="preserve">    Surface,                 !- Outside Boundary Condition</v>
      </c>
    </row>
    <row r="33" spans="1:4" x14ac:dyDescent="0.3">
      <c r="A33" t="s">
        <v>65</v>
      </c>
      <c r="D33" t="str">
        <f t="shared" si="0"/>
        <v xml:space="preserve">    ParedeIntQuarto2Sala,    !- Outside Boundary Condition Object</v>
      </c>
    </row>
    <row r="34" spans="1:4" x14ac:dyDescent="0.3">
      <c r="A34" t="s">
        <v>48</v>
      </c>
      <c r="D34" t="str">
        <f t="shared" si="0"/>
        <v xml:space="preserve">    NoSun,                   !- Sun Exposure</v>
      </c>
    </row>
    <row r="35" spans="1:4" x14ac:dyDescent="0.3">
      <c r="A35" t="s">
        <v>49</v>
      </c>
      <c r="D35" t="str">
        <f t="shared" si="0"/>
        <v xml:space="preserve">    NoWind,                  !- Wind Exposure</v>
      </c>
    </row>
    <row r="36" spans="1:4" x14ac:dyDescent="0.3">
      <c r="A36" t="s">
        <v>50</v>
      </c>
      <c r="D36" t="str">
        <f t="shared" si="0"/>
        <v xml:space="preserve">    ,                        !- View Factor to Ground</v>
      </c>
    </row>
    <row r="37" spans="1:4" x14ac:dyDescent="0.3">
      <c r="A37" t="s">
        <v>51</v>
      </c>
      <c r="D37" t="str">
        <f t="shared" si="0"/>
        <v xml:space="preserve">    ,                        !- Number of Vertices</v>
      </c>
    </row>
    <row r="38" spans="1:4" x14ac:dyDescent="0.3">
      <c r="A38" t="s">
        <v>52</v>
      </c>
      <c r="D38" t="str">
        <f t="shared" si="0"/>
        <v xml:space="preserve">    3.87,                    !- Vertex 1 X-coordinate {m}</v>
      </c>
    </row>
    <row r="39" spans="1:4" x14ac:dyDescent="0.3">
      <c r="A39" t="s">
        <v>66</v>
      </c>
      <c r="D39" t="str">
        <f t="shared" si="0"/>
        <v xml:space="preserve">    3.95328087937421,        !- Vertex 1 Y-coordinate {m}</v>
      </c>
    </row>
    <row r="40" spans="1:4" x14ac:dyDescent="0.3">
      <c r="A40" t="s">
        <v>54</v>
      </c>
      <c r="D40" t="str">
        <f t="shared" si="0"/>
        <v xml:space="preserve">    2.7,                     !- Vertex 1 Z-coordinate {m}</v>
      </c>
    </row>
    <row r="41" spans="1:4" x14ac:dyDescent="0.3">
      <c r="A41" t="s">
        <v>55</v>
      </c>
      <c r="D41" t="str">
        <f t="shared" si="0"/>
        <v xml:space="preserve">    3.87,                    !- Vertex 2 X-coordinate {m}</v>
      </c>
    </row>
    <row r="42" spans="1:4" x14ac:dyDescent="0.3">
      <c r="A42" t="s">
        <v>67</v>
      </c>
      <c r="D42" t="str">
        <f t="shared" si="0"/>
        <v xml:space="preserve">    3.95328087937421,        !- Vertex 2 Y-coordinate {m}</v>
      </c>
    </row>
    <row r="43" spans="1:4" x14ac:dyDescent="0.3">
      <c r="A43" t="s">
        <v>57</v>
      </c>
      <c r="D43" t="str">
        <f t="shared" si="0"/>
        <v xml:space="preserve">    0,                       !- Vertex 2 Z-coordinate {m}</v>
      </c>
    </row>
    <row r="44" spans="1:4" x14ac:dyDescent="0.3">
      <c r="A44" t="s">
        <v>58</v>
      </c>
      <c r="D44" t="str">
        <f t="shared" si="0"/>
        <v xml:space="preserve">    3.87,                    !- Vertex 3 X-coordinate {m}</v>
      </c>
    </row>
    <row r="45" spans="1:4" x14ac:dyDescent="0.3">
      <c r="A45" t="s">
        <v>68</v>
      </c>
      <c r="D45" t="str">
        <f t="shared" si="0"/>
        <v xml:space="preserve">    6.73,                    !- Vertex 3 Y-coordinate {m}</v>
      </c>
    </row>
    <row r="46" spans="1:4" x14ac:dyDescent="0.3">
      <c r="A46" t="s">
        <v>60</v>
      </c>
      <c r="D46" t="str">
        <f t="shared" si="0"/>
        <v xml:space="preserve">    0,                       !- Vertex 3 Z-coordinate {m}</v>
      </c>
    </row>
    <row r="47" spans="1:4" x14ac:dyDescent="0.3">
      <c r="A47" t="s">
        <v>61</v>
      </c>
      <c r="D47" t="str">
        <f t="shared" si="0"/>
        <v xml:space="preserve">    3.87,                    !- Vertex 4 X-coordinate {m}</v>
      </c>
    </row>
    <row r="48" spans="1:4" x14ac:dyDescent="0.3">
      <c r="A48" t="s">
        <v>69</v>
      </c>
      <c r="D48" t="str">
        <f t="shared" si="0"/>
        <v xml:space="preserve">    6.73,                    !- Vertex 4 Y-coordinate {m}</v>
      </c>
    </row>
    <row r="49" spans="1:4" x14ac:dyDescent="0.3">
      <c r="A49" t="s">
        <v>63</v>
      </c>
      <c r="D49" t="str">
        <f t="shared" si="0"/>
        <v xml:space="preserve">    2.7;                     !- Vertex 4 Z-coordinate {m}</v>
      </c>
    </row>
    <row r="50" spans="1:4" x14ac:dyDescent="0.3">
      <c r="D50" t="str">
        <f t="shared" si="0"/>
        <v/>
      </c>
    </row>
    <row r="51" spans="1:4" x14ac:dyDescent="0.3">
      <c r="A51" t="s">
        <v>42</v>
      </c>
      <c r="D51" t="str">
        <f t="shared" si="0"/>
        <v>BuildingSurface:Detailed,</v>
      </c>
    </row>
    <row r="52" spans="1:4" x14ac:dyDescent="0.3">
      <c r="A52" t="s">
        <v>70</v>
      </c>
      <c r="D52" t="str">
        <f t="shared" si="0"/>
        <v xml:space="preserve">    ParedeSalaLeste,         !- Name</v>
      </c>
    </row>
    <row r="53" spans="1:4" x14ac:dyDescent="0.3">
      <c r="A53" t="s">
        <v>44</v>
      </c>
      <c r="D53" t="str">
        <f t="shared" si="0"/>
        <v xml:space="preserve">    Wall,                    !- Surface Type</v>
      </c>
    </row>
    <row r="54" spans="1:4" s="4" customFormat="1" x14ac:dyDescent="0.3">
      <c r="A54" t="str">
        <f>A1048574</f>
        <v>Parede  Tijolo cerâmico 9x14x24 c/ argamassa int e ext</v>
      </c>
      <c r="B54" t="s">
        <v>422</v>
      </c>
      <c r="D54" t="str">
        <f t="shared" si="0"/>
        <v>Parede  Tijolo cerâmico 9x14x24 c/ argamassa int e ext,!- Construction Name</v>
      </c>
    </row>
    <row r="55" spans="1:4" x14ac:dyDescent="0.3">
      <c r="A55" t="s">
        <v>45</v>
      </c>
      <c r="D55" t="str">
        <f t="shared" si="0"/>
        <v xml:space="preserve">    Sala,                    !- Zone Name</v>
      </c>
    </row>
    <row r="56" spans="1:4" x14ac:dyDescent="0.3">
      <c r="A56" t="s">
        <v>71</v>
      </c>
      <c r="D56" t="str">
        <f t="shared" si="0"/>
        <v xml:space="preserve">    Outdoors,                !- Outside Boundary Condition</v>
      </c>
    </row>
    <row r="57" spans="1:4" x14ac:dyDescent="0.3">
      <c r="A57" t="s">
        <v>72</v>
      </c>
      <c r="D57" t="str">
        <f t="shared" si="0"/>
        <v xml:space="preserve">    ,                        !- Outside Boundary Condition Object</v>
      </c>
    </row>
    <row r="58" spans="1:4" x14ac:dyDescent="0.3">
      <c r="A58" t="s">
        <v>73</v>
      </c>
      <c r="D58" t="str">
        <f t="shared" si="0"/>
        <v xml:space="preserve">    SunExposed,              !- Sun Exposure</v>
      </c>
    </row>
    <row r="59" spans="1:4" x14ac:dyDescent="0.3">
      <c r="A59" t="s">
        <v>74</v>
      </c>
      <c r="D59" t="str">
        <f t="shared" si="0"/>
        <v xml:space="preserve">    WindExposed,             !- Wind Exposure</v>
      </c>
    </row>
    <row r="60" spans="1:4" x14ac:dyDescent="0.3">
      <c r="A60" t="s">
        <v>50</v>
      </c>
      <c r="D60" t="str">
        <f t="shared" si="0"/>
        <v xml:space="preserve">    ,                        !- View Factor to Ground</v>
      </c>
    </row>
    <row r="61" spans="1:4" x14ac:dyDescent="0.3">
      <c r="A61" t="s">
        <v>51</v>
      </c>
      <c r="D61" t="str">
        <f t="shared" si="0"/>
        <v xml:space="preserve">    ,                        !- Number of Vertices</v>
      </c>
    </row>
    <row r="62" spans="1:4" x14ac:dyDescent="0.3">
      <c r="A62" t="s">
        <v>52</v>
      </c>
      <c r="D62" t="str">
        <f t="shared" si="0"/>
        <v xml:space="preserve">    3.87,                    !- Vertex 1 X-coordinate {m}</v>
      </c>
    </row>
    <row r="63" spans="1:4" x14ac:dyDescent="0.3">
      <c r="A63" t="s">
        <v>75</v>
      </c>
      <c r="D63" t="str">
        <f t="shared" si="0"/>
        <v xml:space="preserve">    0,                       !- Vertex 1 Y-coordinate {m}</v>
      </c>
    </row>
    <row r="64" spans="1:4" x14ac:dyDescent="0.3">
      <c r="A64" t="s">
        <v>54</v>
      </c>
      <c r="D64" t="str">
        <f t="shared" si="0"/>
        <v xml:space="preserve">    2.7,                     !- Vertex 1 Z-coordinate {m}</v>
      </c>
    </row>
    <row r="65" spans="1:4" x14ac:dyDescent="0.3">
      <c r="A65" t="s">
        <v>55</v>
      </c>
      <c r="D65" t="str">
        <f t="shared" si="0"/>
        <v xml:space="preserve">    3.87,                    !- Vertex 2 X-coordinate {m}</v>
      </c>
    </row>
    <row r="66" spans="1:4" x14ac:dyDescent="0.3">
      <c r="A66" t="s">
        <v>76</v>
      </c>
      <c r="D66" t="str">
        <f t="shared" ref="D66:D129" si="1">CONCATENATE(A66,B66)</f>
        <v xml:space="preserve">    0,                       !- Vertex 2 Y-coordinate {m}</v>
      </c>
    </row>
    <row r="67" spans="1:4" x14ac:dyDescent="0.3">
      <c r="A67" t="s">
        <v>57</v>
      </c>
      <c r="D67" t="str">
        <f t="shared" si="1"/>
        <v xml:space="preserve">    0,                       !- Vertex 2 Z-coordinate {m}</v>
      </c>
    </row>
    <row r="68" spans="1:4" x14ac:dyDescent="0.3">
      <c r="A68" t="s">
        <v>58</v>
      </c>
      <c r="D68" t="str">
        <f t="shared" si="1"/>
        <v xml:space="preserve">    3.87,                    !- Vertex 3 X-coordinate {m}</v>
      </c>
    </row>
    <row r="69" spans="1:4" x14ac:dyDescent="0.3">
      <c r="A69" t="s">
        <v>77</v>
      </c>
      <c r="D69" t="str">
        <f t="shared" si="1"/>
        <v xml:space="preserve">    0.999999999999998,       !- Vertex 3 Y-coordinate {m}</v>
      </c>
    </row>
    <row r="70" spans="1:4" x14ac:dyDescent="0.3">
      <c r="A70" t="s">
        <v>60</v>
      </c>
      <c r="D70" t="str">
        <f t="shared" si="1"/>
        <v xml:space="preserve">    0,                       !- Vertex 3 Z-coordinate {m}</v>
      </c>
    </row>
    <row r="71" spans="1:4" x14ac:dyDescent="0.3">
      <c r="A71" t="s">
        <v>61</v>
      </c>
      <c r="D71" t="str">
        <f t="shared" si="1"/>
        <v xml:space="preserve">    3.87,                    !- Vertex 4 X-coordinate {m}</v>
      </c>
    </row>
    <row r="72" spans="1:4" x14ac:dyDescent="0.3">
      <c r="A72" t="s">
        <v>78</v>
      </c>
      <c r="D72" t="str">
        <f t="shared" si="1"/>
        <v xml:space="preserve">    0.999999999999998,       !- Vertex 4 Y-coordinate {m}</v>
      </c>
    </row>
    <row r="73" spans="1:4" x14ac:dyDescent="0.3">
      <c r="A73" t="s">
        <v>63</v>
      </c>
      <c r="D73" t="str">
        <f t="shared" si="1"/>
        <v xml:space="preserve">    2.7;                     !- Vertex 4 Z-coordinate {m}</v>
      </c>
    </row>
    <row r="74" spans="1:4" x14ac:dyDescent="0.3">
      <c r="D74" t="str">
        <f t="shared" si="1"/>
        <v/>
      </c>
    </row>
    <row r="75" spans="1:4" x14ac:dyDescent="0.3">
      <c r="A75" t="s">
        <v>42</v>
      </c>
      <c r="D75" t="str">
        <f t="shared" si="1"/>
        <v>BuildingSurface:Detailed,</v>
      </c>
    </row>
    <row r="76" spans="1:4" x14ac:dyDescent="0.3">
      <c r="A76" t="s">
        <v>79</v>
      </c>
      <c r="D76" t="str">
        <f t="shared" si="1"/>
        <v xml:space="preserve">    ParedeSalaNorte,         !- Name</v>
      </c>
    </row>
    <row r="77" spans="1:4" x14ac:dyDescent="0.3">
      <c r="A77" t="s">
        <v>44</v>
      </c>
      <c r="D77" t="str">
        <f t="shared" si="1"/>
        <v xml:space="preserve">    Wall,                    !- Surface Type</v>
      </c>
    </row>
    <row r="78" spans="1:4" s="4" customFormat="1" x14ac:dyDescent="0.3">
      <c r="A78" t="str">
        <f>A1048574</f>
        <v>Parede  Tijolo cerâmico 9x14x24 c/ argamassa int e ext</v>
      </c>
      <c r="B78" t="s">
        <v>422</v>
      </c>
      <c r="D78" t="str">
        <f t="shared" si="1"/>
        <v>Parede  Tijolo cerâmico 9x14x24 c/ argamassa int e ext,!- Construction Name</v>
      </c>
    </row>
    <row r="79" spans="1:4" x14ac:dyDescent="0.3">
      <c r="A79" t="s">
        <v>45</v>
      </c>
      <c r="D79" t="str">
        <f t="shared" si="1"/>
        <v xml:space="preserve">    Sala,                    !- Zone Name</v>
      </c>
    </row>
    <row r="80" spans="1:4" x14ac:dyDescent="0.3">
      <c r="A80" t="s">
        <v>71</v>
      </c>
      <c r="D80" t="str">
        <f t="shared" si="1"/>
        <v xml:space="preserve">    Outdoors,                !- Outside Boundary Condition</v>
      </c>
    </row>
    <row r="81" spans="1:4" x14ac:dyDescent="0.3">
      <c r="A81" t="s">
        <v>72</v>
      </c>
      <c r="D81" t="str">
        <f t="shared" si="1"/>
        <v xml:space="preserve">    ,                        !- Outside Boundary Condition Object</v>
      </c>
    </row>
    <row r="82" spans="1:4" x14ac:dyDescent="0.3">
      <c r="A82" t="s">
        <v>73</v>
      </c>
      <c r="D82" t="str">
        <f t="shared" si="1"/>
        <v xml:space="preserve">    SunExposed,              !- Sun Exposure</v>
      </c>
    </row>
    <row r="83" spans="1:4" x14ac:dyDescent="0.3">
      <c r="A83" t="s">
        <v>74</v>
      </c>
      <c r="D83" t="str">
        <f t="shared" si="1"/>
        <v xml:space="preserve">    WindExposed,             !- Wind Exposure</v>
      </c>
    </row>
    <row r="84" spans="1:4" x14ac:dyDescent="0.3">
      <c r="A84" t="s">
        <v>50</v>
      </c>
      <c r="D84" t="str">
        <f t="shared" si="1"/>
        <v xml:space="preserve">    ,                        !- View Factor to Ground</v>
      </c>
    </row>
    <row r="85" spans="1:4" x14ac:dyDescent="0.3">
      <c r="A85" t="s">
        <v>51</v>
      </c>
      <c r="D85" t="str">
        <f t="shared" si="1"/>
        <v xml:space="preserve">    ,                        !- Number of Vertices</v>
      </c>
    </row>
    <row r="86" spans="1:4" x14ac:dyDescent="0.3">
      <c r="A86" t="s">
        <v>52</v>
      </c>
      <c r="D86" t="str">
        <f t="shared" si="1"/>
        <v xml:space="preserve">    3.87,                    !- Vertex 1 X-coordinate {m}</v>
      </c>
    </row>
    <row r="87" spans="1:4" x14ac:dyDescent="0.3">
      <c r="A87" t="s">
        <v>80</v>
      </c>
      <c r="D87" t="str">
        <f t="shared" si="1"/>
        <v xml:space="preserve">    6.73,                    !- Vertex 1 Y-coordinate {m}</v>
      </c>
    </row>
    <row r="88" spans="1:4" x14ac:dyDescent="0.3">
      <c r="A88" t="s">
        <v>54</v>
      </c>
      <c r="D88" t="str">
        <f t="shared" si="1"/>
        <v xml:space="preserve">    2.7,                     !- Vertex 1 Z-coordinate {m}</v>
      </c>
    </row>
    <row r="89" spans="1:4" x14ac:dyDescent="0.3">
      <c r="A89" t="s">
        <v>55</v>
      </c>
      <c r="D89" t="str">
        <f t="shared" si="1"/>
        <v xml:space="preserve">    3.87,                    !- Vertex 2 X-coordinate {m}</v>
      </c>
    </row>
    <row r="90" spans="1:4" x14ac:dyDescent="0.3">
      <c r="A90" t="s">
        <v>81</v>
      </c>
      <c r="D90" t="str">
        <f t="shared" si="1"/>
        <v xml:space="preserve">    6.73,                    !- Vertex 2 Y-coordinate {m}</v>
      </c>
    </row>
    <row r="91" spans="1:4" x14ac:dyDescent="0.3">
      <c r="A91" t="s">
        <v>57</v>
      </c>
      <c r="D91" t="str">
        <f t="shared" si="1"/>
        <v xml:space="preserve">    0,                       !- Vertex 2 Z-coordinate {m}</v>
      </c>
    </row>
    <row r="92" spans="1:4" x14ac:dyDescent="0.3">
      <c r="A92" t="s">
        <v>82</v>
      </c>
      <c r="D92" t="str">
        <f t="shared" si="1"/>
        <v xml:space="preserve">    2.66,                    !- Vertex 3 X-coordinate {m}</v>
      </c>
    </row>
    <row r="93" spans="1:4" x14ac:dyDescent="0.3">
      <c r="A93" t="s">
        <v>68</v>
      </c>
      <c r="D93" t="str">
        <f t="shared" si="1"/>
        <v xml:space="preserve">    6.73,                    !- Vertex 3 Y-coordinate {m}</v>
      </c>
    </row>
    <row r="94" spans="1:4" x14ac:dyDescent="0.3">
      <c r="A94" t="s">
        <v>60</v>
      </c>
      <c r="D94" t="str">
        <f t="shared" si="1"/>
        <v xml:space="preserve">    0,                       !- Vertex 3 Z-coordinate {m}</v>
      </c>
    </row>
    <row r="95" spans="1:4" x14ac:dyDescent="0.3">
      <c r="A95" t="s">
        <v>83</v>
      </c>
      <c r="D95" t="str">
        <f t="shared" si="1"/>
        <v xml:space="preserve">    2.66,                    !- Vertex 4 X-coordinate {m}</v>
      </c>
    </row>
    <row r="96" spans="1:4" x14ac:dyDescent="0.3">
      <c r="A96" t="s">
        <v>69</v>
      </c>
      <c r="D96" t="str">
        <f t="shared" si="1"/>
        <v xml:space="preserve">    6.73,                    !- Vertex 4 Y-coordinate {m}</v>
      </c>
    </row>
    <row r="97" spans="1:4" x14ac:dyDescent="0.3">
      <c r="A97" t="s">
        <v>63</v>
      </c>
      <c r="D97" t="str">
        <f t="shared" si="1"/>
        <v xml:space="preserve">    2.7;                     !- Vertex 4 Z-coordinate {m}</v>
      </c>
    </row>
    <row r="98" spans="1:4" x14ac:dyDescent="0.3">
      <c r="D98" t="str">
        <f t="shared" si="1"/>
        <v/>
      </c>
    </row>
    <row r="99" spans="1:4" x14ac:dyDescent="0.3">
      <c r="A99" t="s">
        <v>42</v>
      </c>
      <c r="D99" t="str">
        <f t="shared" si="1"/>
        <v>BuildingSurface:Detailed,</v>
      </c>
    </row>
    <row r="100" spans="1:4" x14ac:dyDescent="0.3">
      <c r="A100" t="s">
        <v>84</v>
      </c>
      <c r="D100" t="str">
        <f t="shared" si="1"/>
        <v xml:space="preserve">    ParedeSalaOeste,         !- Name</v>
      </c>
    </row>
    <row r="101" spans="1:4" x14ac:dyDescent="0.3">
      <c r="A101" t="s">
        <v>44</v>
      </c>
      <c r="D101" t="str">
        <f t="shared" si="1"/>
        <v xml:space="preserve">    Wall,                    !- Surface Type</v>
      </c>
    </row>
    <row r="102" spans="1:4" s="4" customFormat="1" x14ac:dyDescent="0.3">
      <c r="A102" t="str">
        <f>A1048574</f>
        <v>Parede  Tijolo cerâmico 9x14x24 c/ argamassa int e ext</v>
      </c>
      <c r="B102" t="s">
        <v>422</v>
      </c>
      <c r="D102" t="str">
        <f t="shared" si="1"/>
        <v>Parede  Tijolo cerâmico 9x14x24 c/ argamassa int e ext,!- Construction Name</v>
      </c>
    </row>
    <row r="103" spans="1:4" x14ac:dyDescent="0.3">
      <c r="A103" t="s">
        <v>45</v>
      </c>
      <c r="D103" t="str">
        <f t="shared" si="1"/>
        <v xml:space="preserve">    Sala,                    !- Zone Name</v>
      </c>
    </row>
    <row r="104" spans="1:4" x14ac:dyDescent="0.3">
      <c r="A104" t="s">
        <v>71</v>
      </c>
      <c r="D104" t="str">
        <f t="shared" si="1"/>
        <v xml:space="preserve">    Outdoors,                !- Outside Boundary Condition</v>
      </c>
    </row>
    <row r="105" spans="1:4" x14ac:dyDescent="0.3">
      <c r="A105" t="s">
        <v>72</v>
      </c>
      <c r="D105" t="str">
        <f t="shared" si="1"/>
        <v xml:space="preserve">    ,                        !- Outside Boundary Condition Object</v>
      </c>
    </row>
    <row r="106" spans="1:4" x14ac:dyDescent="0.3">
      <c r="A106" t="s">
        <v>73</v>
      </c>
      <c r="D106" t="str">
        <f t="shared" si="1"/>
        <v xml:space="preserve">    SunExposed,              !- Sun Exposure</v>
      </c>
    </row>
    <row r="107" spans="1:4" x14ac:dyDescent="0.3">
      <c r="A107" t="s">
        <v>74</v>
      </c>
      <c r="D107" t="str">
        <f t="shared" si="1"/>
        <v xml:space="preserve">    WindExposed,             !- Wind Exposure</v>
      </c>
    </row>
    <row r="108" spans="1:4" x14ac:dyDescent="0.3">
      <c r="A108" t="s">
        <v>50</v>
      </c>
      <c r="D108" t="str">
        <f t="shared" si="1"/>
        <v xml:space="preserve">    ,                        !- View Factor to Ground</v>
      </c>
    </row>
    <row r="109" spans="1:4" x14ac:dyDescent="0.3">
      <c r="A109" t="s">
        <v>51</v>
      </c>
      <c r="D109" t="str">
        <f t="shared" si="1"/>
        <v xml:space="preserve">    ,                        !- Number of Vertices</v>
      </c>
    </row>
    <row r="110" spans="1:4" x14ac:dyDescent="0.3">
      <c r="A110" t="s">
        <v>85</v>
      </c>
      <c r="D110" t="str">
        <f t="shared" si="1"/>
        <v xml:space="preserve">    0,                       !- Vertex 1 X-coordinate {m}</v>
      </c>
    </row>
    <row r="111" spans="1:4" x14ac:dyDescent="0.3">
      <c r="A111" t="s">
        <v>86</v>
      </c>
      <c r="D111" t="str">
        <f t="shared" si="1"/>
        <v xml:space="preserve">    4.91,                    !- Vertex 1 Y-coordinate {m}</v>
      </c>
    </row>
    <row r="112" spans="1:4" x14ac:dyDescent="0.3">
      <c r="A112" t="s">
        <v>54</v>
      </c>
      <c r="D112" t="str">
        <f t="shared" si="1"/>
        <v xml:space="preserve">    2.7,                     !- Vertex 1 Z-coordinate {m}</v>
      </c>
    </row>
    <row r="113" spans="1:4" x14ac:dyDescent="0.3">
      <c r="A113" t="s">
        <v>87</v>
      </c>
      <c r="D113" t="str">
        <f t="shared" si="1"/>
        <v xml:space="preserve">    0,                       !- Vertex 2 X-coordinate {m}</v>
      </c>
    </row>
    <row r="114" spans="1:4" x14ac:dyDescent="0.3">
      <c r="A114" t="s">
        <v>88</v>
      </c>
      <c r="D114" t="str">
        <f t="shared" si="1"/>
        <v xml:space="preserve">    4.91,                    !- Vertex 2 Y-coordinate {m}</v>
      </c>
    </row>
    <row r="115" spans="1:4" x14ac:dyDescent="0.3">
      <c r="A115" t="s">
        <v>57</v>
      </c>
      <c r="D115" t="str">
        <f t="shared" si="1"/>
        <v xml:space="preserve">    0,                       !- Vertex 2 Z-coordinate {m}</v>
      </c>
    </row>
    <row r="116" spans="1:4" x14ac:dyDescent="0.3">
      <c r="A116" t="s">
        <v>89</v>
      </c>
      <c r="D116" t="str">
        <f t="shared" si="1"/>
        <v xml:space="preserve">    0,                       !- Vertex 3 X-coordinate {m}</v>
      </c>
    </row>
    <row r="117" spans="1:4" x14ac:dyDescent="0.3">
      <c r="A117" t="s">
        <v>90</v>
      </c>
      <c r="D117" t="str">
        <f t="shared" si="1"/>
        <v xml:space="preserve">    0,                       !- Vertex 3 Y-coordinate {m}</v>
      </c>
    </row>
    <row r="118" spans="1:4" x14ac:dyDescent="0.3">
      <c r="A118" t="s">
        <v>60</v>
      </c>
      <c r="D118" t="str">
        <f t="shared" si="1"/>
        <v xml:space="preserve">    0,                       !- Vertex 3 Z-coordinate {m}</v>
      </c>
    </row>
    <row r="119" spans="1:4" x14ac:dyDescent="0.3">
      <c r="A119" t="s">
        <v>91</v>
      </c>
      <c r="D119" t="str">
        <f t="shared" si="1"/>
        <v xml:space="preserve">    0,                       !- Vertex 4 X-coordinate {m}</v>
      </c>
    </row>
    <row r="120" spans="1:4" x14ac:dyDescent="0.3">
      <c r="A120" t="s">
        <v>92</v>
      </c>
      <c r="D120" t="str">
        <f t="shared" si="1"/>
        <v xml:space="preserve">    0,                       !- Vertex 4 Y-coordinate {m}</v>
      </c>
    </row>
    <row r="121" spans="1:4" x14ac:dyDescent="0.3">
      <c r="A121" t="s">
        <v>63</v>
      </c>
      <c r="D121" t="str">
        <f t="shared" si="1"/>
        <v xml:space="preserve">    2.7;                     !- Vertex 4 Z-coordinate {m}</v>
      </c>
    </row>
    <row r="122" spans="1:4" x14ac:dyDescent="0.3">
      <c r="D122" t="str">
        <f t="shared" si="1"/>
        <v/>
      </c>
    </row>
    <row r="123" spans="1:4" x14ac:dyDescent="0.3">
      <c r="A123" t="s">
        <v>42</v>
      </c>
      <c r="D123" t="str">
        <f t="shared" si="1"/>
        <v>BuildingSurface:Detailed,</v>
      </c>
    </row>
    <row r="124" spans="1:4" x14ac:dyDescent="0.3">
      <c r="A124" t="s">
        <v>93</v>
      </c>
      <c r="D124" t="str">
        <f t="shared" si="1"/>
        <v xml:space="preserve">    ParedeSalaSul,           !- Name</v>
      </c>
    </row>
    <row r="125" spans="1:4" x14ac:dyDescent="0.3">
      <c r="A125" t="s">
        <v>44</v>
      </c>
      <c r="D125" t="str">
        <f t="shared" si="1"/>
        <v xml:space="preserve">    Wall,                    !- Surface Type</v>
      </c>
    </row>
    <row r="126" spans="1:4" s="4" customFormat="1" x14ac:dyDescent="0.3">
      <c r="A126" t="str">
        <f>A1048574</f>
        <v>Parede  Tijolo cerâmico 9x14x24 c/ argamassa int e ext</v>
      </c>
      <c r="B126" t="s">
        <v>422</v>
      </c>
      <c r="D126" t="str">
        <f t="shared" si="1"/>
        <v>Parede  Tijolo cerâmico 9x14x24 c/ argamassa int e ext,!- Construction Name</v>
      </c>
    </row>
    <row r="127" spans="1:4" x14ac:dyDescent="0.3">
      <c r="A127" t="s">
        <v>45</v>
      </c>
      <c r="D127" t="str">
        <f t="shared" si="1"/>
        <v xml:space="preserve">    Sala,                    !- Zone Name</v>
      </c>
    </row>
    <row r="128" spans="1:4" x14ac:dyDescent="0.3">
      <c r="A128" t="s">
        <v>71</v>
      </c>
      <c r="D128" t="str">
        <f t="shared" si="1"/>
        <v xml:space="preserve">    Outdoors,                !- Outside Boundary Condition</v>
      </c>
    </row>
    <row r="129" spans="1:4" x14ac:dyDescent="0.3">
      <c r="A129" t="s">
        <v>72</v>
      </c>
      <c r="D129" t="str">
        <f t="shared" si="1"/>
        <v xml:space="preserve">    ,                        !- Outside Boundary Condition Object</v>
      </c>
    </row>
    <row r="130" spans="1:4" x14ac:dyDescent="0.3">
      <c r="A130" t="s">
        <v>73</v>
      </c>
      <c r="D130" t="str">
        <f t="shared" ref="D130:D193" si="2">CONCATENATE(A130,B130)</f>
        <v xml:space="preserve">    SunExposed,              !- Sun Exposure</v>
      </c>
    </row>
    <row r="131" spans="1:4" x14ac:dyDescent="0.3">
      <c r="A131" t="s">
        <v>74</v>
      </c>
      <c r="D131" t="str">
        <f t="shared" si="2"/>
        <v xml:space="preserve">    WindExposed,             !- Wind Exposure</v>
      </c>
    </row>
    <row r="132" spans="1:4" x14ac:dyDescent="0.3">
      <c r="A132" t="s">
        <v>50</v>
      </c>
      <c r="D132" t="str">
        <f t="shared" si="2"/>
        <v xml:space="preserve">    ,                        !- View Factor to Ground</v>
      </c>
    </row>
    <row r="133" spans="1:4" x14ac:dyDescent="0.3">
      <c r="A133" t="s">
        <v>51</v>
      </c>
      <c r="D133" t="str">
        <f t="shared" si="2"/>
        <v xml:space="preserve">    ,                        !- Number of Vertices</v>
      </c>
    </row>
    <row r="134" spans="1:4" x14ac:dyDescent="0.3">
      <c r="A134" t="s">
        <v>85</v>
      </c>
      <c r="D134" t="str">
        <f t="shared" si="2"/>
        <v xml:space="preserve">    0,                       !- Vertex 1 X-coordinate {m}</v>
      </c>
    </row>
    <row r="135" spans="1:4" x14ac:dyDescent="0.3">
      <c r="A135" t="s">
        <v>75</v>
      </c>
      <c r="D135" t="str">
        <f t="shared" si="2"/>
        <v xml:space="preserve">    0,                       !- Vertex 1 Y-coordinate {m}</v>
      </c>
    </row>
    <row r="136" spans="1:4" x14ac:dyDescent="0.3">
      <c r="A136" t="s">
        <v>54</v>
      </c>
      <c r="D136" t="str">
        <f t="shared" si="2"/>
        <v xml:space="preserve">    2.7,                     !- Vertex 1 Z-coordinate {m}</v>
      </c>
    </row>
    <row r="137" spans="1:4" x14ac:dyDescent="0.3">
      <c r="A137" t="s">
        <v>87</v>
      </c>
      <c r="D137" t="str">
        <f t="shared" si="2"/>
        <v xml:space="preserve">    0,                       !- Vertex 2 X-coordinate {m}</v>
      </c>
    </row>
    <row r="138" spans="1:4" x14ac:dyDescent="0.3">
      <c r="A138" t="s">
        <v>76</v>
      </c>
      <c r="D138" t="str">
        <f t="shared" si="2"/>
        <v xml:space="preserve">    0,                       !- Vertex 2 Y-coordinate {m}</v>
      </c>
    </row>
    <row r="139" spans="1:4" x14ac:dyDescent="0.3">
      <c r="A139" t="s">
        <v>57</v>
      </c>
      <c r="D139" t="str">
        <f t="shared" si="2"/>
        <v xml:space="preserve">    0,                       !- Vertex 2 Z-coordinate {m}</v>
      </c>
    </row>
    <row r="140" spans="1:4" x14ac:dyDescent="0.3">
      <c r="A140" t="s">
        <v>58</v>
      </c>
      <c r="D140" t="str">
        <f t="shared" si="2"/>
        <v xml:space="preserve">    3.87,                    !- Vertex 3 X-coordinate {m}</v>
      </c>
    </row>
    <row r="141" spans="1:4" x14ac:dyDescent="0.3">
      <c r="A141" t="s">
        <v>90</v>
      </c>
      <c r="D141" t="str">
        <f t="shared" si="2"/>
        <v xml:space="preserve">    0,                       !- Vertex 3 Y-coordinate {m}</v>
      </c>
    </row>
    <row r="142" spans="1:4" x14ac:dyDescent="0.3">
      <c r="A142" t="s">
        <v>60</v>
      </c>
      <c r="D142" t="str">
        <f t="shared" si="2"/>
        <v xml:space="preserve">    0,                       !- Vertex 3 Z-coordinate {m}</v>
      </c>
    </row>
    <row r="143" spans="1:4" x14ac:dyDescent="0.3">
      <c r="A143" t="s">
        <v>61</v>
      </c>
      <c r="D143" t="str">
        <f t="shared" si="2"/>
        <v xml:space="preserve">    3.87,                    !- Vertex 4 X-coordinate {m}</v>
      </c>
    </row>
    <row r="144" spans="1:4" x14ac:dyDescent="0.3">
      <c r="A144" t="s">
        <v>92</v>
      </c>
      <c r="D144" t="str">
        <f t="shared" si="2"/>
        <v xml:space="preserve">    0,                       !- Vertex 4 Y-coordinate {m}</v>
      </c>
    </row>
    <row r="145" spans="1:4" x14ac:dyDescent="0.3">
      <c r="A145" t="s">
        <v>63</v>
      </c>
      <c r="D145" t="str">
        <f t="shared" si="2"/>
        <v xml:space="preserve">    2.7;                     !- Vertex 4 Z-coordinate {m}</v>
      </c>
    </row>
    <row r="146" spans="1:4" x14ac:dyDescent="0.3">
      <c r="D146" t="str">
        <f t="shared" si="2"/>
        <v/>
      </c>
    </row>
    <row r="147" spans="1:4" x14ac:dyDescent="0.3">
      <c r="A147" t="s">
        <v>42</v>
      </c>
      <c r="D147" t="str">
        <f t="shared" si="2"/>
        <v>BuildingSurface:Detailed,</v>
      </c>
    </row>
    <row r="148" spans="1:4" x14ac:dyDescent="0.3">
      <c r="A148" t="s">
        <v>94</v>
      </c>
      <c r="D148" t="str">
        <f t="shared" si="2"/>
        <v xml:space="preserve">    Surface 10,              !- Name</v>
      </c>
    </row>
    <row r="149" spans="1:4" x14ac:dyDescent="0.3">
      <c r="A149" t="s">
        <v>44</v>
      </c>
      <c r="D149" t="str">
        <f t="shared" si="2"/>
        <v xml:space="preserve">    Wall,                    !- Surface Type</v>
      </c>
    </row>
    <row r="150" spans="1:4" s="4" customFormat="1" x14ac:dyDescent="0.3">
      <c r="A150" t="str">
        <f>A1048574</f>
        <v>Parede  Tijolo cerâmico 9x14x24 c/ argamassa int e ext</v>
      </c>
      <c r="B150" t="s">
        <v>422</v>
      </c>
      <c r="D150" t="str">
        <f t="shared" si="2"/>
        <v>Parede  Tijolo cerâmico 9x14x24 c/ argamassa int e ext,!- Construction Name</v>
      </c>
    </row>
    <row r="151" spans="1:4" x14ac:dyDescent="0.3">
      <c r="A151" t="s">
        <v>45</v>
      </c>
      <c r="D151" t="str">
        <f t="shared" si="2"/>
        <v xml:space="preserve">    Sala,                    !- Zone Name</v>
      </c>
    </row>
    <row r="152" spans="1:4" x14ac:dyDescent="0.3">
      <c r="A152" t="s">
        <v>46</v>
      </c>
      <c r="D152" t="str">
        <f t="shared" si="2"/>
        <v xml:space="preserve">    Surface,                 !- Outside Boundary Condition</v>
      </c>
    </row>
    <row r="153" spans="1:4" x14ac:dyDescent="0.3">
      <c r="A153" t="s">
        <v>95</v>
      </c>
      <c r="D153" t="str">
        <f t="shared" si="2"/>
        <v xml:space="preserve">    ParedeIntBanheiroSala1,  !- Outside Boundary Condition Object</v>
      </c>
    </row>
    <row r="154" spans="1:4" x14ac:dyDescent="0.3">
      <c r="A154" t="s">
        <v>48</v>
      </c>
      <c r="D154" t="str">
        <f t="shared" si="2"/>
        <v xml:space="preserve">    NoSun,                   !- Sun Exposure</v>
      </c>
    </row>
    <row r="155" spans="1:4" x14ac:dyDescent="0.3">
      <c r="A155" t="s">
        <v>49</v>
      </c>
      <c r="D155" t="str">
        <f t="shared" si="2"/>
        <v xml:space="preserve">    NoWind,                  !- Wind Exposure</v>
      </c>
    </row>
    <row r="156" spans="1:4" x14ac:dyDescent="0.3">
      <c r="A156" t="s">
        <v>50</v>
      </c>
      <c r="D156" t="str">
        <f t="shared" si="2"/>
        <v xml:space="preserve">    ,                        !- View Factor to Ground</v>
      </c>
    </row>
    <row r="157" spans="1:4" x14ac:dyDescent="0.3">
      <c r="A157" t="s">
        <v>51</v>
      </c>
      <c r="D157" t="str">
        <f t="shared" si="2"/>
        <v xml:space="preserve">    ,                        !- Number of Vertices</v>
      </c>
    </row>
    <row r="158" spans="1:4" x14ac:dyDescent="0.3">
      <c r="A158" t="s">
        <v>96</v>
      </c>
      <c r="D158" t="str">
        <f t="shared" si="2"/>
        <v xml:space="preserve">    2.66,                    !- Vertex 1 X-coordinate {m}</v>
      </c>
    </row>
    <row r="159" spans="1:4" x14ac:dyDescent="0.3">
      <c r="A159" t="s">
        <v>86</v>
      </c>
      <c r="D159" t="str">
        <f t="shared" si="2"/>
        <v xml:space="preserve">    4.91,                    !- Vertex 1 Y-coordinate {m}</v>
      </c>
    </row>
    <row r="160" spans="1:4" x14ac:dyDescent="0.3">
      <c r="A160" t="s">
        <v>54</v>
      </c>
      <c r="D160" t="str">
        <f t="shared" si="2"/>
        <v xml:space="preserve">    2.7,                     !- Vertex 1 Z-coordinate {m}</v>
      </c>
    </row>
    <row r="161" spans="1:4" x14ac:dyDescent="0.3">
      <c r="A161" t="s">
        <v>97</v>
      </c>
      <c r="D161" t="str">
        <f t="shared" si="2"/>
        <v xml:space="preserve">    2.66,                    !- Vertex 2 X-coordinate {m}</v>
      </c>
    </row>
    <row r="162" spans="1:4" x14ac:dyDescent="0.3">
      <c r="A162" t="s">
        <v>88</v>
      </c>
      <c r="D162" t="str">
        <f t="shared" si="2"/>
        <v xml:space="preserve">    4.91,                    !- Vertex 2 Y-coordinate {m}</v>
      </c>
    </row>
    <row r="163" spans="1:4" x14ac:dyDescent="0.3">
      <c r="A163" t="s">
        <v>57</v>
      </c>
      <c r="D163" t="str">
        <f t="shared" si="2"/>
        <v xml:space="preserve">    0,                       !- Vertex 2 Z-coordinate {m}</v>
      </c>
    </row>
    <row r="164" spans="1:4" x14ac:dyDescent="0.3">
      <c r="A164" t="s">
        <v>89</v>
      </c>
      <c r="D164" t="str">
        <f t="shared" si="2"/>
        <v xml:space="preserve">    0,                       !- Vertex 3 X-coordinate {m}</v>
      </c>
    </row>
    <row r="165" spans="1:4" x14ac:dyDescent="0.3">
      <c r="A165" t="s">
        <v>98</v>
      </c>
      <c r="D165" t="str">
        <f t="shared" si="2"/>
        <v xml:space="preserve">    4.91,                    !- Vertex 3 Y-coordinate {m}</v>
      </c>
    </row>
    <row r="166" spans="1:4" x14ac:dyDescent="0.3">
      <c r="A166" t="s">
        <v>60</v>
      </c>
      <c r="D166" t="str">
        <f t="shared" si="2"/>
        <v xml:space="preserve">    0,                       !- Vertex 3 Z-coordinate {m}</v>
      </c>
    </row>
    <row r="167" spans="1:4" x14ac:dyDescent="0.3">
      <c r="A167" t="s">
        <v>91</v>
      </c>
      <c r="D167" t="str">
        <f t="shared" si="2"/>
        <v xml:space="preserve">    0,                       !- Vertex 4 X-coordinate {m}</v>
      </c>
    </row>
    <row r="168" spans="1:4" x14ac:dyDescent="0.3">
      <c r="A168" t="s">
        <v>99</v>
      </c>
      <c r="D168" t="str">
        <f t="shared" si="2"/>
        <v xml:space="preserve">    4.91,                    !- Vertex 4 Y-coordinate {m}</v>
      </c>
    </row>
    <row r="169" spans="1:4" x14ac:dyDescent="0.3">
      <c r="A169" t="s">
        <v>63</v>
      </c>
      <c r="D169" t="str">
        <f t="shared" si="2"/>
        <v xml:space="preserve">    2.7;                     !- Vertex 4 Z-coordinate {m}</v>
      </c>
    </row>
    <row r="170" spans="1:4" x14ac:dyDescent="0.3">
      <c r="D170" t="str">
        <f t="shared" si="2"/>
        <v/>
      </c>
    </row>
    <row r="171" spans="1:4" x14ac:dyDescent="0.3">
      <c r="A171" t="s">
        <v>42</v>
      </c>
      <c r="D171" t="str">
        <f t="shared" si="2"/>
        <v>BuildingSurface:Detailed,</v>
      </c>
    </row>
    <row r="172" spans="1:4" x14ac:dyDescent="0.3">
      <c r="A172" t="s">
        <v>100</v>
      </c>
      <c r="D172" t="str">
        <f t="shared" si="2"/>
        <v xml:space="preserve">    Surface 11,              !- Name</v>
      </c>
    </row>
    <row r="173" spans="1:4" x14ac:dyDescent="0.3">
      <c r="A173" t="s">
        <v>44</v>
      </c>
      <c r="D173" t="str">
        <f t="shared" si="2"/>
        <v xml:space="preserve">    Wall,                    !- Surface Type</v>
      </c>
    </row>
    <row r="174" spans="1:4" x14ac:dyDescent="0.3">
      <c r="A174" t="str">
        <f>A1048574</f>
        <v>Parede  Tijolo cerâmico 9x14x24 c/ argamassa int e ext</v>
      </c>
      <c r="B174" t="s">
        <v>422</v>
      </c>
      <c r="D174" t="str">
        <f t="shared" si="2"/>
        <v>Parede  Tijolo cerâmico 9x14x24 c/ argamassa int e ext,!- Construction Name</v>
      </c>
    </row>
    <row r="175" spans="1:4" x14ac:dyDescent="0.3">
      <c r="A175" t="s">
        <v>45</v>
      </c>
      <c r="D175" t="str">
        <f t="shared" si="2"/>
        <v xml:space="preserve">    Sala,                    !- Zone Name</v>
      </c>
    </row>
    <row r="176" spans="1:4" x14ac:dyDescent="0.3">
      <c r="A176" t="s">
        <v>46</v>
      </c>
      <c r="D176" t="str">
        <f t="shared" si="2"/>
        <v xml:space="preserve">    Surface,                 !- Outside Boundary Condition</v>
      </c>
    </row>
    <row r="177" spans="1:4" x14ac:dyDescent="0.3">
      <c r="A177" t="s">
        <v>101</v>
      </c>
      <c r="D177" t="str">
        <f t="shared" si="2"/>
        <v xml:space="preserve">    ParedeIntBanheiroSala2,  !- Outside Boundary Condition Object</v>
      </c>
    </row>
    <row r="178" spans="1:4" x14ac:dyDescent="0.3">
      <c r="A178" t="s">
        <v>48</v>
      </c>
      <c r="D178" t="str">
        <f t="shared" si="2"/>
        <v xml:space="preserve">    NoSun,                   !- Sun Exposure</v>
      </c>
    </row>
    <row r="179" spans="1:4" x14ac:dyDescent="0.3">
      <c r="A179" t="s">
        <v>49</v>
      </c>
      <c r="D179" t="str">
        <f t="shared" si="2"/>
        <v xml:space="preserve">    NoWind,                  !- Wind Exposure</v>
      </c>
    </row>
    <row r="180" spans="1:4" x14ac:dyDescent="0.3">
      <c r="A180" t="s">
        <v>50</v>
      </c>
      <c r="D180" t="str">
        <f t="shared" si="2"/>
        <v xml:space="preserve">    ,                        !- View Factor to Ground</v>
      </c>
    </row>
    <row r="181" spans="1:4" x14ac:dyDescent="0.3">
      <c r="A181" t="s">
        <v>51</v>
      </c>
      <c r="D181" t="str">
        <f t="shared" si="2"/>
        <v xml:space="preserve">    ,                        !- Number of Vertices</v>
      </c>
    </row>
    <row r="182" spans="1:4" x14ac:dyDescent="0.3">
      <c r="A182" t="s">
        <v>96</v>
      </c>
      <c r="D182" t="str">
        <f t="shared" si="2"/>
        <v xml:space="preserve">    2.66,                    !- Vertex 1 X-coordinate {m}</v>
      </c>
    </row>
    <row r="183" spans="1:4" x14ac:dyDescent="0.3">
      <c r="A183" t="s">
        <v>80</v>
      </c>
      <c r="D183" t="str">
        <f t="shared" si="2"/>
        <v xml:space="preserve">    6.73,                    !- Vertex 1 Y-coordinate {m}</v>
      </c>
    </row>
    <row r="184" spans="1:4" x14ac:dyDescent="0.3">
      <c r="A184" t="s">
        <v>54</v>
      </c>
      <c r="D184" t="str">
        <f t="shared" si="2"/>
        <v xml:space="preserve">    2.7,                     !- Vertex 1 Z-coordinate {m}</v>
      </c>
    </row>
    <row r="185" spans="1:4" x14ac:dyDescent="0.3">
      <c r="A185" t="s">
        <v>97</v>
      </c>
      <c r="D185" t="str">
        <f t="shared" si="2"/>
        <v xml:space="preserve">    2.66,                    !- Vertex 2 X-coordinate {m}</v>
      </c>
    </row>
    <row r="186" spans="1:4" x14ac:dyDescent="0.3">
      <c r="A186" t="s">
        <v>81</v>
      </c>
      <c r="D186" t="str">
        <f t="shared" si="2"/>
        <v xml:space="preserve">    6.73,                    !- Vertex 2 Y-coordinate {m}</v>
      </c>
    </row>
    <row r="187" spans="1:4" x14ac:dyDescent="0.3">
      <c r="A187" t="s">
        <v>57</v>
      </c>
      <c r="D187" t="str">
        <f t="shared" si="2"/>
        <v xml:space="preserve">    0,                       !- Vertex 2 Z-coordinate {m}</v>
      </c>
    </row>
    <row r="188" spans="1:4" x14ac:dyDescent="0.3">
      <c r="A188" t="s">
        <v>82</v>
      </c>
      <c r="D188" t="str">
        <f t="shared" si="2"/>
        <v xml:space="preserve">    2.66,                    !- Vertex 3 X-coordinate {m}</v>
      </c>
    </row>
    <row r="189" spans="1:4" x14ac:dyDescent="0.3">
      <c r="A189" t="s">
        <v>98</v>
      </c>
      <c r="D189" t="str">
        <f t="shared" si="2"/>
        <v xml:space="preserve">    4.91,                    !- Vertex 3 Y-coordinate {m}</v>
      </c>
    </row>
    <row r="190" spans="1:4" x14ac:dyDescent="0.3">
      <c r="A190" t="s">
        <v>60</v>
      </c>
      <c r="D190" t="str">
        <f t="shared" si="2"/>
        <v xml:space="preserve">    0,                       !- Vertex 3 Z-coordinate {m}</v>
      </c>
    </row>
    <row r="191" spans="1:4" x14ac:dyDescent="0.3">
      <c r="A191" t="s">
        <v>83</v>
      </c>
      <c r="D191" t="str">
        <f t="shared" si="2"/>
        <v xml:space="preserve">    2.66,                    !- Vertex 4 X-coordinate {m}</v>
      </c>
    </row>
    <row r="192" spans="1:4" x14ac:dyDescent="0.3">
      <c r="A192" t="s">
        <v>99</v>
      </c>
      <c r="D192" t="str">
        <f t="shared" si="2"/>
        <v xml:space="preserve">    4.91,                    !- Vertex 4 Y-coordinate {m}</v>
      </c>
    </row>
    <row r="193" spans="1:4" x14ac:dyDescent="0.3">
      <c r="A193" t="s">
        <v>63</v>
      </c>
      <c r="D193" t="str">
        <f t="shared" si="2"/>
        <v xml:space="preserve">    2.7;                     !- Vertex 4 Z-coordinate {m}</v>
      </c>
    </row>
    <row r="194" spans="1:4" x14ac:dyDescent="0.3">
      <c r="D194" t="str">
        <f t="shared" ref="D194:D257" si="3">CONCATENATE(A194,B194)</f>
        <v/>
      </c>
    </row>
    <row r="195" spans="1:4" x14ac:dyDescent="0.3">
      <c r="A195" t="s">
        <v>42</v>
      </c>
      <c r="D195" t="str">
        <f t="shared" si="3"/>
        <v>BuildingSurface:Detailed,</v>
      </c>
    </row>
    <row r="196" spans="1:4" x14ac:dyDescent="0.3">
      <c r="A196" t="s">
        <v>102</v>
      </c>
      <c r="D196" t="str">
        <f t="shared" si="3"/>
        <v xml:space="preserve">    Surface 30,              !- Name</v>
      </c>
    </row>
    <row r="197" spans="1:4" x14ac:dyDescent="0.3">
      <c r="A197" t="s">
        <v>44</v>
      </c>
      <c r="D197" t="str">
        <f t="shared" si="3"/>
        <v xml:space="preserve">    Wall,                    !- Surface Type</v>
      </c>
    </row>
    <row r="198" spans="1:4" x14ac:dyDescent="0.3">
      <c r="A198" t="str">
        <f>A1048574</f>
        <v>Parede  Tijolo cerâmico 9x14x24 c/ argamassa int e ext</v>
      </c>
      <c r="B198" t="s">
        <v>422</v>
      </c>
      <c r="D198" t="str">
        <f t="shared" si="3"/>
        <v>Parede  Tijolo cerâmico 9x14x24 c/ argamassa int e ext,!- Construction Name</v>
      </c>
    </row>
    <row r="199" spans="1:4" x14ac:dyDescent="0.3">
      <c r="A199" t="s">
        <v>45</v>
      </c>
      <c r="D199" t="str">
        <f t="shared" si="3"/>
        <v xml:space="preserve">    Sala,                    !- Zone Name</v>
      </c>
    </row>
    <row r="200" spans="1:4" x14ac:dyDescent="0.3">
      <c r="A200" t="s">
        <v>71</v>
      </c>
      <c r="D200" t="str">
        <f t="shared" si="3"/>
        <v xml:space="preserve">    Outdoors,                !- Outside Boundary Condition</v>
      </c>
    </row>
    <row r="201" spans="1:4" x14ac:dyDescent="0.3">
      <c r="A201" t="s">
        <v>72</v>
      </c>
      <c r="D201" t="str">
        <f t="shared" si="3"/>
        <v xml:space="preserve">    ,                        !- Outside Boundary Condition Object</v>
      </c>
    </row>
    <row r="202" spans="1:4" x14ac:dyDescent="0.3">
      <c r="A202" t="s">
        <v>73</v>
      </c>
      <c r="D202" t="str">
        <f t="shared" si="3"/>
        <v xml:space="preserve">    SunExposed,              !- Sun Exposure</v>
      </c>
    </row>
    <row r="203" spans="1:4" x14ac:dyDescent="0.3">
      <c r="A203" t="s">
        <v>74</v>
      </c>
      <c r="D203" t="str">
        <f t="shared" si="3"/>
        <v xml:space="preserve">    WindExposed,             !- Wind Exposure</v>
      </c>
    </row>
    <row r="204" spans="1:4" x14ac:dyDescent="0.3">
      <c r="A204" t="s">
        <v>50</v>
      </c>
      <c r="D204" t="str">
        <f t="shared" si="3"/>
        <v xml:space="preserve">    ,                        !- View Factor to Ground</v>
      </c>
    </row>
    <row r="205" spans="1:4" x14ac:dyDescent="0.3">
      <c r="A205" t="s">
        <v>51</v>
      </c>
      <c r="D205" t="str">
        <f t="shared" si="3"/>
        <v xml:space="preserve">    ,                        !- Number of Vertices</v>
      </c>
    </row>
    <row r="206" spans="1:4" x14ac:dyDescent="0.3">
      <c r="A206" t="s">
        <v>96</v>
      </c>
      <c r="D206" t="str">
        <f t="shared" si="3"/>
        <v xml:space="preserve">    2.66,                    !- Vertex 1 X-coordinate {m}</v>
      </c>
    </row>
    <row r="207" spans="1:4" x14ac:dyDescent="0.3">
      <c r="A207" t="s">
        <v>80</v>
      </c>
      <c r="D207" t="str">
        <f t="shared" si="3"/>
        <v xml:space="preserve">    6.73,                    !- Vertex 1 Y-coordinate {m}</v>
      </c>
    </row>
    <row r="208" spans="1:4" x14ac:dyDescent="0.3">
      <c r="A208" t="s">
        <v>54</v>
      </c>
      <c r="D208" t="str">
        <f t="shared" si="3"/>
        <v xml:space="preserve">    2.7,                     !- Vertex 1 Z-coordinate {m}</v>
      </c>
    </row>
    <row r="209" spans="1:4" x14ac:dyDescent="0.3">
      <c r="A209" t="s">
        <v>97</v>
      </c>
      <c r="D209" t="str">
        <f t="shared" si="3"/>
        <v xml:space="preserve">    2.66,                    !- Vertex 2 X-coordinate {m}</v>
      </c>
    </row>
    <row r="210" spans="1:4" x14ac:dyDescent="0.3">
      <c r="A210" t="s">
        <v>81</v>
      </c>
      <c r="D210" t="str">
        <f t="shared" si="3"/>
        <v xml:space="preserve">    6.73,                    !- Vertex 2 Y-coordinate {m}</v>
      </c>
    </row>
    <row r="211" spans="1:4" x14ac:dyDescent="0.3">
      <c r="A211" t="s">
        <v>57</v>
      </c>
      <c r="D211" t="str">
        <f t="shared" si="3"/>
        <v xml:space="preserve">    0,                       !- Vertex 2 Z-coordinate {m}</v>
      </c>
    </row>
    <row r="212" spans="1:4" x14ac:dyDescent="0.3">
      <c r="A212" t="s">
        <v>82</v>
      </c>
      <c r="D212" t="str">
        <f t="shared" si="3"/>
        <v xml:space="preserve">    2.66,                    !- Vertex 3 X-coordinate {m}</v>
      </c>
    </row>
    <row r="213" spans="1:4" x14ac:dyDescent="0.3">
      <c r="A213" t="s">
        <v>98</v>
      </c>
      <c r="D213" t="str">
        <f t="shared" si="3"/>
        <v xml:space="preserve">    4.91,                    !- Vertex 3 Y-coordinate {m}</v>
      </c>
    </row>
    <row r="214" spans="1:4" x14ac:dyDescent="0.3">
      <c r="A214" t="s">
        <v>60</v>
      </c>
      <c r="D214" t="str">
        <f t="shared" si="3"/>
        <v xml:space="preserve">    0,                       !- Vertex 3 Z-coordinate {m}</v>
      </c>
    </row>
    <row r="215" spans="1:4" x14ac:dyDescent="0.3">
      <c r="A215" t="s">
        <v>83</v>
      </c>
      <c r="D215" t="str">
        <f t="shared" si="3"/>
        <v xml:space="preserve">    2.66,                    !- Vertex 4 X-coordinate {m}</v>
      </c>
    </row>
    <row r="216" spans="1:4" x14ac:dyDescent="0.3">
      <c r="A216" t="s">
        <v>99</v>
      </c>
      <c r="D216" t="str">
        <f t="shared" si="3"/>
        <v xml:space="preserve">    4.91,                    !- Vertex 4 Y-coordinate {m}</v>
      </c>
    </row>
    <row r="217" spans="1:4" x14ac:dyDescent="0.3">
      <c r="A217" t="s">
        <v>63</v>
      </c>
      <c r="D217" t="str">
        <f t="shared" si="3"/>
        <v xml:space="preserve">    2.7;                     !- Vertex 4 Z-coordinate {m}</v>
      </c>
    </row>
    <row r="218" spans="1:4" x14ac:dyDescent="0.3">
      <c r="D218" t="str">
        <f t="shared" si="3"/>
        <v/>
      </c>
    </row>
    <row r="219" spans="1:4" x14ac:dyDescent="0.3">
      <c r="A219" t="s">
        <v>42</v>
      </c>
      <c r="D219" t="str">
        <f t="shared" si="3"/>
        <v>BuildingSurface:Detailed,</v>
      </c>
    </row>
    <row r="220" spans="1:4" x14ac:dyDescent="0.3">
      <c r="A220" t="s">
        <v>103</v>
      </c>
      <c r="D220" t="str">
        <f t="shared" si="3"/>
        <v xml:space="preserve">    Surface 7,               !- Name</v>
      </c>
    </row>
    <row r="221" spans="1:4" x14ac:dyDescent="0.3">
      <c r="A221" t="s">
        <v>104</v>
      </c>
      <c r="D221" t="str">
        <f t="shared" si="3"/>
        <v xml:space="preserve">    Floor,                   !- Surface Type</v>
      </c>
    </row>
    <row r="222" spans="1:4" x14ac:dyDescent="0.3">
      <c r="A222" t="s">
        <v>105</v>
      </c>
      <c r="D222" t="str">
        <f t="shared" si="3"/>
        <v xml:space="preserve">    Laje protendida alveolar,!- Construction Name</v>
      </c>
    </row>
    <row r="223" spans="1:4" x14ac:dyDescent="0.3">
      <c r="A223" t="s">
        <v>45</v>
      </c>
      <c r="D223" t="str">
        <f t="shared" si="3"/>
        <v xml:space="preserve">    Sala,                    !- Zone Name</v>
      </c>
    </row>
    <row r="224" spans="1:4" x14ac:dyDescent="0.3">
      <c r="A224" t="s">
        <v>106</v>
      </c>
      <c r="D224" t="str">
        <f t="shared" si="3"/>
        <v xml:space="preserve">    Ground,                  !- Outside Boundary Condition</v>
      </c>
    </row>
    <row r="225" spans="1:4" x14ac:dyDescent="0.3">
      <c r="A225" t="s">
        <v>72</v>
      </c>
      <c r="D225" t="str">
        <f t="shared" si="3"/>
        <v xml:space="preserve">    ,                        !- Outside Boundary Condition Object</v>
      </c>
    </row>
    <row r="226" spans="1:4" x14ac:dyDescent="0.3">
      <c r="A226" t="s">
        <v>48</v>
      </c>
      <c r="D226" t="str">
        <f t="shared" si="3"/>
        <v xml:space="preserve">    NoSun,                   !- Sun Exposure</v>
      </c>
    </row>
    <row r="227" spans="1:4" x14ac:dyDescent="0.3">
      <c r="A227" t="s">
        <v>49</v>
      </c>
      <c r="D227" t="str">
        <f t="shared" si="3"/>
        <v xml:space="preserve">    NoWind,                  !- Wind Exposure</v>
      </c>
    </row>
    <row r="228" spans="1:4" x14ac:dyDescent="0.3">
      <c r="A228" t="s">
        <v>50</v>
      </c>
      <c r="D228" t="str">
        <f t="shared" si="3"/>
        <v xml:space="preserve">    ,                        !- View Factor to Ground</v>
      </c>
    </row>
    <row r="229" spans="1:4" x14ac:dyDescent="0.3">
      <c r="A229" t="s">
        <v>51</v>
      </c>
      <c r="D229" t="str">
        <f t="shared" si="3"/>
        <v xml:space="preserve">    ,                        !- Number of Vertices</v>
      </c>
    </row>
    <row r="230" spans="1:4" x14ac:dyDescent="0.3">
      <c r="A230" t="s">
        <v>52</v>
      </c>
      <c r="D230" t="str">
        <f t="shared" si="3"/>
        <v xml:space="preserve">    3.87,                    !- Vertex 1 X-coordinate {m}</v>
      </c>
    </row>
    <row r="231" spans="1:4" x14ac:dyDescent="0.3">
      <c r="A231" t="s">
        <v>80</v>
      </c>
      <c r="D231" t="str">
        <f t="shared" si="3"/>
        <v xml:space="preserve">    6.73,                    !- Vertex 1 Y-coordinate {m}</v>
      </c>
    </row>
    <row r="232" spans="1:4" x14ac:dyDescent="0.3">
      <c r="A232" t="s">
        <v>107</v>
      </c>
      <c r="D232" t="str">
        <f t="shared" si="3"/>
        <v xml:space="preserve">    0,                       !- Vertex 1 Z-coordinate {m}</v>
      </c>
    </row>
    <row r="233" spans="1:4" x14ac:dyDescent="0.3">
      <c r="A233" t="s">
        <v>55</v>
      </c>
      <c r="D233" t="str">
        <f t="shared" si="3"/>
        <v xml:space="preserve">    3.87,                    !- Vertex 2 X-coordinate {m}</v>
      </c>
    </row>
    <row r="234" spans="1:4" x14ac:dyDescent="0.3">
      <c r="A234" t="s">
        <v>76</v>
      </c>
      <c r="D234" t="str">
        <f t="shared" si="3"/>
        <v xml:space="preserve">    0,                       !- Vertex 2 Y-coordinate {m}</v>
      </c>
    </row>
    <row r="235" spans="1:4" x14ac:dyDescent="0.3">
      <c r="A235" t="s">
        <v>57</v>
      </c>
      <c r="D235" t="str">
        <f t="shared" si="3"/>
        <v xml:space="preserve">    0,                       !- Vertex 2 Z-coordinate {m}</v>
      </c>
    </row>
    <row r="236" spans="1:4" x14ac:dyDescent="0.3">
      <c r="A236" t="s">
        <v>89</v>
      </c>
      <c r="D236" t="str">
        <f t="shared" si="3"/>
        <v xml:space="preserve">    0,                       !- Vertex 3 X-coordinate {m}</v>
      </c>
    </row>
    <row r="237" spans="1:4" x14ac:dyDescent="0.3">
      <c r="A237" t="s">
        <v>90</v>
      </c>
      <c r="D237" t="str">
        <f t="shared" si="3"/>
        <v xml:space="preserve">    0,                       !- Vertex 3 Y-coordinate {m}</v>
      </c>
    </row>
    <row r="238" spans="1:4" x14ac:dyDescent="0.3">
      <c r="A238" t="s">
        <v>60</v>
      </c>
      <c r="D238" t="str">
        <f t="shared" si="3"/>
        <v xml:space="preserve">    0,                       !- Vertex 3 Z-coordinate {m}</v>
      </c>
    </row>
    <row r="239" spans="1:4" x14ac:dyDescent="0.3">
      <c r="A239" t="s">
        <v>91</v>
      </c>
      <c r="D239" t="str">
        <f t="shared" si="3"/>
        <v xml:space="preserve">    0,                       !- Vertex 4 X-coordinate {m}</v>
      </c>
    </row>
    <row r="240" spans="1:4" x14ac:dyDescent="0.3">
      <c r="A240" t="s">
        <v>99</v>
      </c>
      <c r="D240" t="str">
        <f t="shared" si="3"/>
        <v xml:space="preserve">    4.91,                    !- Vertex 4 Y-coordinate {m}</v>
      </c>
    </row>
    <row r="241" spans="1:4" x14ac:dyDescent="0.3">
      <c r="A241" t="s">
        <v>108</v>
      </c>
      <c r="D241" t="str">
        <f t="shared" si="3"/>
        <v xml:space="preserve">    0,                       !- Vertex 4 Z-coordinate {m}</v>
      </c>
    </row>
    <row r="242" spans="1:4" x14ac:dyDescent="0.3">
      <c r="A242" t="s">
        <v>109</v>
      </c>
      <c r="D242" t="str">
        <f t="shared" si="3"/>
        <v xml:space="preserve">    2.66,                    !- Vertex 5 X-coordinate {m}</v>
      </c>
    </row>
    <row r="243" spans="1:4" x14ac:dyDescent="0.3">
      <c r="A243" t="s">
        <v>110</v>
      </c>
      <c r="D243" t="str">
        <f t="shared" si="3"/>
        <v xml:space="preserve">    4.91,                    !- Vertex 5 Y-coordinate {m}</v>
      </c>
    </row>
    <row r="244" spans="1:4" x14ac:dyDescent="0.3">
      <c r="A244" t="s">
        <v>111</v>
      </c>
      <c r="D244" t="str">
        <f t="shared" si="3"/>
        <v xml:space="preserve">    0,                       !- Vertex 5 Z-coordinate {m}</v>
      </c>
    </row>
    <row r="245" spans="1:4" x14ac:dyDescent="0.3">
      <c r="A245" t="s">
        <v>112</v>
      </c>
      <c r="D245" t="str">
        <f t="shared" si="3"/>
        <v xml:space="preserve">    2.66,                    !- Vertex 6 X-coordinate {m}</v>
      </c>
    </row>
    <row r="246" spans="1:4" x14ac:dyDescent="0.3">
      <c r="A246" t="s">
        <v>113</v>
      </c>
      <c r="D246" t="str">
        <f t="shared" si="3"/>
        <v xml:space="preserve">    6.73,                    !- Vertex 6 Y-coordinate {m}</v>
      </c>
    </row>
    <row r="247" spans="1:4" x14ac:dyDescent="0.3">
      <c r="A247" t="s">
        <v>114</v>
      </c>
      <c r="D247" t="str">
        <f t="shared" si="3"/>
        <v xml:space="preserve">    0;                       !- Vertex 6 Z-coordinate {m}</v>
      </c>
    </row>
    <row r="248" spans="1:4" x14ac:dyDescent="0.3">
      <c r="D248" t="str">
        <f t="shared" si="3"/>
        <v/>
      </c>
    </row>
    <row r="249" spans="1:4" x14ac:dyDescent="0.3">
      <c r="A249" t="s">
        <v>42</v>
      </c>
      <c r="D249" t="str">
        <f t="shared" si="3"/>
        <v>BuildingSurface:Detailed,</v>
      </c>
    </row>
    <row r="250" spans="1:4" x14ac:dyDescent="0.3">
      <c r="A250" t="s">
        <v>115</v>
      </c>
      <c r="D250" t="str">
        <f t="shared" si="3"/>
        <v xml:space="preserve">    Surface 8,               !- Name</v>
      </c>
    </row>
    <row r="251" spans="1:4" x14ac:dyDescent="0.3">
      <c r="A251" t="s">
        <v>116</v>
      </c>
      <c r="D251" t="str">
        <f t="shared" si="3"/>
        <v xml:space="preserve">    Ceiling,                 !- Surface Type</v>
      </c>
    </row>
    <row r="252" spans="1:4" x14ac:dyDescent="0.3">
      <c r="A252" t="str">
        <f>B1048574</f>
        <v>Forro PVC</v>
      </c>
      <c r="B252" t="s">
        <v>427</v>
      </c>
      <c r="D252" t="str">
        <f t="shared" si="3"/>
        <v>Forro PVC,               !- Construction Name</v>
      </c>
    </row>
    <row r="253" spans="1:4" x14ac:dyDescent="0.3">
      <c r="A253" t="s">
        <v>45</v>
      </c>
      <c r="D253" t="str">
        <f t="shared" si="3"/>
        <v xml:space="preserve">    Sala,                    !- Zone Name</v>
      </c>
    </row>
    <row r="254" spans="1:4" x14ac:dyDescent="0.3">
      <c r="A254" t="s">
        <v>46</v>
      </c>
      <c r="D254" t="str">
        <f t="shared" si="3"/>
        <v xml:space="preserve">    Surface,                 !- Outside Boundary Condition</v>
      </c>
    </row>
    <row r="255" spans="1:4" x14ac:dyDescent="0.3">
      <c r="A255" t="s">
        <v>117</v>
      </c>
      <c r="D255" t="str">
        <f t="shared" si="3"/>
        <v xml:space="preserve">    Forro2,                  !- Outside Boundary Condition Object</v>
      </c>
    </row>
    <row r="256" spans="1:4" x14ac:dyDescent="0.3">
      <c r="A256" t="s">
        <v>48</v>
      </c>
      <c r="D256" t="str">
        <f t="shared" si="3"/>
        <v xml:space="preserve">    NoSun,                   !- Sun Exposure</v>
      </c>
    </row>
    <row r="257" spans="1:4" x14ac:dyDescent="0.3">
      <c r="A257" t="s">
        <v>49</v>
      </c>
      <c r="D257" t="str">
        <f t="shared" si="3"/>
        <v xml:space="preserve">    NoWind,                  !- Wind Exposure</v>
      </c>
    </row>
    <row r="258" spans="1:4" x14ac:dyDescent="0.3">
      <c r="A258" t="s">
        <v>50</v>
      </c>
      <c r="D258" t="str">
        <f t="shared" ref="D258:D321" si="4">CONCATENATE(A258,B258)</f>
        <v xml:space="preserve">    ,                        !- View Factor to Ground</v>
      </c>
    </row>
    <row r="259" spans="1:4" x14ac:dyDescent="0.3">
      <c r="A259" t="s">
        <v>51</v>
      </c>
      <c r="D259" t="str">
        <f t="shared" si="4"/>
        <v xml:space="preserve">    ,                        !- Number of Vertices</v>
      </c>
    </row>
    <row r="260" spans="1:4" x14ac:dyDescent="0.3">
      <c r="A260" t="s">
        <v>52</v>
      </c>
      <c r="D260" t="str">
        <f t="shared" si="4"/>
        <v xml:space="preserve">    3.87,                    !- Vertex 1 X-coordinate {m}</v>
      </c>
    </row>
    <row r="261" spans="1:4" x14ac:dyDescent="0.3">
      <c r="A261" t="s">
        <v>75</v>
      </c>
      <c r="D261" t="str">
        <f t="shared" si="4"/>
        <v xml:space="preserve">    0,                       !- Vertex 1 Y-coordinate {m}</v>
      </c>
    </row>
    <row r="262" spans="1:4" x14ac:dyDescent="0.3">
      <c r="A262" t="s">
        <v>54</v>
      </c>
      <c r="D262" t="str">
        <f t="shared" si="4"/>
        <v xml:space="preserve">    2.7,                     !- Vertex 1 Z-coordinate {m}</v>
      </c>
    </row>
    <row r="263" spans="1:4" x14ac:dyDescent="0.3">
      <c r="A263" t="s">
        <v>55</v>
      </c>
      <c r="D263" t="str">
        <f t="shared" si="4"/>
        <v xml:space="preserve">    3.87,                    !- Vertex 2 X-coordinate {m}</v>
      </c>
    </row>
    <row r="264" spans="1:4" x14ac:dyDescent="0.3">
      <c r="A264" t="s">
        <v>81</v>
      </c>
      <c r="D264" t="str">
        <f t="shared" si="4"/>
        <v xml:space="preserve">    6.73,                    !- Vertex 2 Y-coordinate {m}</v>
      </c>
    </row>
    <row r="265" spans="1:4" x14ac:dyDescent="0.3">
      <c r="A265" t="s">
        <v>118</v>
      </c>
      <c r="D265" t="str">
        <f t="shared" si="4"/>
        <v xml:space="preserve">    2.7,                     !- Vertex 2 Z-coordinate {m}</v>
      </c>
    </row>
    <row r="266" spans="1:4" x14ac:dyDescent="0.3">
      <c r="A266" t="s">
        <v>119</v>
      </c>
      <c r="D266" t="str">
        <f t="shared" si="4"/>
        <v xml:space="preserve">    3.295,                   !- Vertex 3 X-coordinate {m}</v>
      </c>
    </row>
    <row r="267" spans="1:4" x14ac:dyDescent="0.3">
      <c r="A267" t="s">
        <v>68</v>
      </c>
      <c r="D267" t="str">
        <f t="shared" si="4"/>
        <v xml:space="preserve">    6.73,                    !- Vertex 3 Y-coordinate {m}</v>
      </c>
    </row>
    <row r="268" spans="1:4" x14ac:dyDescent="0.3">
      <c r="A268" t="s">
        <v>120</v>
      </c>
      <c r="D268" t="str">
        <f t="shared" si="4"/>
        <v xml:space="preserve">    2.7,                     !- Vertex 3 Z-coordinate {m}</v>
      </c>
    </row>
    <row r="269" spans="1:4" x14ac:dyDescent="0.3">
      <c r="A269" t="s">
        <v>121</v>
      </c>
      <c r="D269" t="str">
        <f t="shared" si="4"/>
        <v xml:space="preserve">    3.295,                   !- Vertex 4 X-coordinate {m}</v>
      </c>
    </row>
    <row r="270" spans="1:4" x14ac:dyDescent="0.3">
      <c r="A270" t="s">
        <v>92</v>
      </c>
      <c r="D270" t="str">
        <f t="shared" si="4"/>
        <v xml:space="preserve">    0,                       !- Vertex 4 Y-coordinate {m}</v>
      </c>
    </row>
    <row r="271" spans="1:4" x14ac:dyDescent="0.3">
      <c r="A271" t="s">
        <v>63</v>
      </c>
      <c r="D271" t="str">
        <f t="shared" si="4"/>
        <v xml:space="preserve">    2.7;                     !- Vertex 4 Z-coordinate {m}</v>
      </c>
    </row>
    <row r="272" spans="1:4" x14ac:dyDescent="0.3">
      <c r="D272" t="str">
        <f t="shared" si="4"/>
        <v/>
      </c>
    </row>
    <row r="273" spans="1:4" x14ac:dyDescent="0.3">
      <c r="A273" t="s">
        <v>42</v>
      </c>
      <c r="D273" t="str">
        <f t="shared" si="4"/>
        <v>BuildingSurface:Detailed,</v>
      </c>
    </row>
    <row r="274" spans="1:4" x14ac:dyDescent="0.3">
      <c r="A274" t="s">
        <v>122</v>
      </c>
      <c r="D274" t="str">
        <f t="shared" si="4"/>
        <v xml:space="preserve">    ParedeIntQuarto1Quarto2, !- Name</v>
      </c>
    </row>
    <row r="275" spans="1:4" x14ac:dyDescent="0.3">
      <c r="A275" t="s">
        <v>44</v>
      </c>
      <c r="D275" t="str">
        <f t="shared" si="4"/>
        <v xml:space="preserve">    Wall,                    !- Surface Type</v>
      </c>
    </row>
    <row r="276" spans="1:4" x14ac:dyDescent="0.3">
      <c r="A276" t="str">
        <f>A1048574</f>
        <v>Parede  Tijolo cerâmico 9x14x24 c/ argamassa int e ext</v>
      </c>
      <c r="B276" t="s">
        <v>422</v>
      </c>
      <c r="D276" t="str">
        <f t="shared" si="4"/>
        <v>Parede  Tijolo cerâmico 9x14x24 c/ argamassa int e ext,!- Construction Name</v>
      </c>
    </row>
    <row r="277" spans="1:4" x14ac:dyDescent="0.3">
      <c r="A277" t="s">
        <v>123</v>
      </c>
      <c r="D277" t="str">
        <f t="shared" si="4"/>
        <v xml:space="preserve">    Quarto1,                 !- Zone Name</v>
      </c>
    </row>
    <row r="278" spans="1:4" x14ac:dyDescent="0.3">
      <c r="A278" t="s">
        <v>46</v>
      </c>
      <c r="D278" t="str">
        <f t="shared" si="4"/>
        <v xml:space="preserve">    Surface,                 !- Outside Boundary Condition</v>
      </c>
    </row>
    <row r="279" spans="1:4" x14ac:dyDescent="0.3">
      <c r="A279" t="s">
        <v>124</v>
      </c>
      <c r="D279" t="str">
        <f t="shared" si="4"/>
        <v xml:space="preserve">    ParedeIntQuarto2Quarto1, !- Outside Boundary Condition Object</v>
      </c>
    </row>
    <row r="280" spans="1:4" x14ac:dyDescent="0.3">
      <c r="A280" t="s">
        <v>48</v>
      </c>
      <c r="D280" t="str">
        <f t="shared" si="4"/>
        <v xml:space="preserve">    NoSun,                   !- Sun Exposure</v>
      </c>
    </row>
    <row r="281" spans="1:4" x14ac:dyDescent="0.3">
      <c r="A281" t="s">
        <v>49</v>
      </c>
      <c r="D281" t="str">
        <f t="shared" si="4"/>
        <v xml:space="preserve">    NoWind,                  !- Wind Exposure</v>
      </c>
    </row>
    <row r="282" spans="1:4" x14ac:dyDescent="0.3">
      <c r="A282" t="s">
        <v>50</v>
      </c>
      <c r="D282" t="str">
        <f t="shared" si="4"/>
        <v xml:space="preserve">    ,                        !- View Factor to Ground</v>
      </c>
    </row>
    <row r="283" spans="1:4" x14ac:dyDescent="0.3">
      <c r="A283" t="s">
        <v>51</v>
      </c>
      <c r="D283" t="str">
        <f t="shared" si="4"/>
        <v xml:space="preserve">    ,                        !- Number of Vertices</v>
      </c>
    </row>
    <row r="284" spans="1:4" x14ac:dyDescent="0.3">
      <c r="A284" t="s">
        <v>125</v>
      </c>
      <c r="D284" t="str">
        <f t="shared" si="4"/>
        <v xml:space="preserve">    2.71999999999999,        !- Vertex 1 X-coordinate {m}</v>
      </c>
    </row>
    <row r="285" spans="1:4" x14ac:dyDescent="0.3">
      <c r="A285" t="s">
        <v>126</v>
      </c>
      <c r="D285" t="str">
        <f t="shared" si="4"/>
        <v xml:space="preserve">    2.95328087937421,        !- Vertex 1 Y-coordinate {m}</v>
      </c>
    </row>
    <row r="286" spans="1:4" x14ac:dyDescent="0.3">
      <c r="A286" t="s">
        <v>54</v>
      </c>
      <c r="D286" t="str">
        <f t="shared" si="4"/>
        <v xml:space="preserve">    2.7,                     !- Vertex 1 Z-coordinate {m}</v>
      </c>
    </row>
    <row r="287" spans="1:4" x14ac:dyDescent="0.3">
      <c r="A287" t="s">
        <v>127</v>
      </c>
      <c r="D287" t="str">
        <f t="shared" si="4"/>
        <v xml:space="preserve">    2.71999999999999,        !- Vertex 2 X-coordinate {m}</v>
      </c>
    </row>
    <row r="288" spans="1:4" x14ac:dyDescent="0.3">
      <c r="A288" t="s">
        <v>128</v>
      </c>
      <c r="D288" t="str">
        <f t="shared" si="4"/>
        <v xml:space="preserve">    2.95328087937421,        !- Vertex 2 Y-coordinate {m}</v>
      </c>
    </row>
    <row r="289" spans="1:4" x14ac:dyDescent="0.3">
      <c r="A289" t="s">
        <v>57</v>
      </c>
      <c r="D289" t="str">
        <f t="shared" si="4"/>
        <v xml:space="preserve">    0,                       !- Vertex 2 Z-coordinate {m}</v>
      </c>
    </row>
    <row r="290" spans="1:4" x14ac:dyDescent="0.3">
      <c r="A290" t="s">
        <v>129</v>
      </c>
      <c r="D290" t="str">
        <f t="shared" si="4"/>
        <v xml:space="preserve">    -4.33146851719357e-015,  !- Vertex 3 X-coordinate {m}</v>
      </c>
    </row>
    <row r="291" spans="1:4" x14ac:dyDescent="0.3">
      <c r="A291" t="s">
        <v>130</v>
      </c>
      <c r="D291" t="str">
        <f t="shared" si="4"/>
        <v xml:space="preserve">    2.95328087937421,        !- Vertex 3 Y-coordinate {m}</v>
      </c>
    </row>
    <row r="292" spans="1:4" x14ac:dyDescent="0.3">
      <c r="A292" t="s">
        <v>60</v>
      </c>
      <c r="D292" t="str">
        <f t="shared" si="4"/>
        <v xml:space="preserve">    0,                       !- Vertex 3 Z-coordinate {m}</v>
      </c>
    </row>
    <row r="293" spans="1:4" x14ac:dyDescent="0.3">
      <c r="A293" t="s">
        <v>131</v>
      </c>
      <c r="D293" t="str">
        <f t="shared" si="4"/>
        <v xml:space="preserve">    -4.33146851719357e-015,  !- Vertex 4 X-coordinate {m}</v>
      </c>
    </row>
    <row r="294" spans="1:4" x14ac:dyDescent="0.3">
      <c r="A294" t="s">
        <v>132</v>
      </c>
      <c r="D294" t="str">
        <f t="shared" si="4"/>
        <v xml:space="preserve">    2.95328087937421,        !- Vertex 4 Y-coordinate {m}</v>
      </c>
    </row>
    <row r="295" spans="1:4" x14ac:dyDescent="0.3">
      <c r="A295" t="s">
        <v>63</v>
      </c>
      <c r="D295" t="str">
        <f t="shared" si="4"/>
        <v xml:space="preserve">    2.7;                     !- Vertex 4 Z-coordinate {m}</v>
      </c>
    </row>
    <row r="296" spans="1:4" x14ac:dyDescent="0.3">
      <c r="D296" t="str">
        <f t="shared" si="4"/>
        <v/>
      </c>
    </row>
    <row r="297" spans="1:4" x14ac:dyDescent="0.3">
      <c r="A297" t="s">
        <v>42</v>
      </c>
      <c r="D297" t="str">
        <f t="shared" si="4"/>
        <v>BuildingSurface:Detailed,</v>
      </c>
    </row>
    <row r="298" spans="1:4" x14ac:dyDescent="0.3">
      <c r="A298" t="s">
        <v>133</v>
      </c>
      <c r="D298" t="str">
        <f t="shared" si="4"/>
        <v xml:space="preserve">    ParedeIntQuarto1Sala,    !- Name</v>
      </c>
    </row>
    <row r="299" spans="1:4" x14ac:dyDescent="0.3">
      <c r="A299" t="s">
        <v>44</v>
      </c>
      <c r="D299" t="str">
        <f t="shared" si="4"/>
        <v xml:space="preserve">    Wall,                    !- Surface Type</v>
      </c>
    </row>
    <row r="300" spans="1:4" x14ac:dyDescent="0.3">
      <c r="A300" t="str">
        <f>A1048574</f>
        <v>Parede  Tijolo cerâmico 9x14x24 c/ argamassa int e ext</v>
      </c>
      <c r="B300" t="s">
        <v>422</v>
      </c>
      <c r="D300" t="str">
        <f t="shared" si="4"/>
        <v>Parede  Tijolo cerâmico 9x14x24 c/ argamassa int e ext,!- Construction Name</v>
      </c>
    </row>
    <row r="301" spans="1:4" x14ac:dyDescent="0.3">
      <c r="A301" t="s">
        <v>123</v>
      </c>
      <c r="D301" t="str">
        <f t="shared" si="4"/>
        <v xml:space="preserve">    Quarto1,                 !- Zone Name</v>
      </c>
    </row>
    <row r="302" spans="1:4" x14ac:dyDescent="0.3">
      <c r="A302" t="s">
        <v>46</v>
      </c>
      <c r="D302" t="str">
        <f t="shared" si="4"/>
        <v xml:space="preserve">    Surface,                 !- Outside Boundary Condition</v>
      </c>
    </row>
    <row r="303" spans="1:4" x14ac:dyDescent="0.3">
      <c r="A303" t="s">
        <v>134</v>
      </c>
      <c r="D303" t="str">
        <f t="shared" si="4"/>
        <v xml:space="preserve">    ParedeIntSalaQuarto1,    !- Outside Boundary Condition Object</v>
      </c>
    </row>
    <row r="304" spans="1:4" x14ac:dyDescent="0.3">
      <c r="A304" t="s">
        <v>48</v>
      </c>
      <c r="D304" t="str">
        <f t="shared" si="4"/>
        <v xml:space="preserve">    NoSun,                   !- Sun Exposure</v>
      </c>
    </row>
    <row r="305" spans="1:4" x14ac:dyDescent="0.3">
      <c r="A305" t="s">
        <v>49</v>
      </c>
      <c r="D305" t="str">
        <f t="shared" si="4"/>
        <v xml:space="preserve">    NoWind,                  !- Wind Exposure</v>
      </c>
    </row>
    <row r="306" spans="1:4" x14ac:dyDescent="0.3">
      <c r="A306" t="s">
        <v>50</v>
      </c>
      <c r="D306" t="str">
        <f t="shared" si="4"/>
        <v xml:space="preserve">    ,                        !- View Factor to Ground</v>
      </c>
    </row>
    <row r="307" spans="1:4" x14ac:dyDescent="0.3">
      <c r="A307" t="s">
        <v>51</v>
      </c>
      <c r="D307" t="str">
        <f t="shared" si="4"/>
        <v xml:space="preserve">    ,                        !- Number of Vertices</v>
      </c>
    </row>
    <row r="308" spans="1:4" x14ac:dyDescent="0.3">
      <c r="A308" t="s">
        <v>135</v>
      </c>
      <c r="D308" t="str">
        <f t="shared" si="4"/>
        <v xml:space="preserve">    -4.33146851719357e-015,  !- Vertex 1 X-coordinate {m}</v>
      </c>
    </row>
    <row r="309" spans="1:4" x14ac:dyDescent="0.3">
      <c r="A309" t="s">
        <v>126</v>
      </c>
      <c r="D309" t="str">
        <f t="shared" si="4"/>
        <v xml:space="preserve">    2.95328087937421,        !- Vertex 1 Y-coordinate {m}</v>
      </c>
    </row>
    <row r="310" spans="1:4" x14ac:dyDescent="0.3">
      <c r="A310" t="s">
        <v>54</v>
      </c>
      <c r="D310" t="str">
        <f t="shared" si="4"/>
        <v xml:space="preserve">    2.7,                     !- Vertex 1 Z-coordinate {m}</v>
      </c>
    </row>
    <row r="311" spans="1:4" x14ac:dyDescent="0.3">
      <c r="A311" t="s">
        <v>136</v>
      </c>
      <c r="D311" t="str">
        <f t="shared" si="4"/>
        <v xml:space="preserve">    -4.33146851719357e-015,  !- Vertex 2 X-coordinate {m}</v>
      </c>
    </row>
    <row r="312" spans="1:4" x14ac:dyDescent="0.3">
      <c r="A312" t="s">
        <v>128</v>
      </c>
      <c r="D312" t="str">
        <f t="shared" si="4"/>
        <v xml:space="preserve">    2.95328087937421,        !- Vertex 2 Y-coordinate {m}</v>
      </c>
    </row>
    <row r="313" spans="1:4" x14ac:dyDescent="0.3">
      <c r="A313" t="s">
        <v>57</v>
      </c>
      <c r="D313" t="str">
        <f t="shared" si="4"/>
        <v xml:space="preserve">    0,                       !- Vertex 2 Z-coordinate {m}</v>
      </c>
    </row>
    <row r="314" spans="1:4" x14ac:dyDescent="0.3">
      <c r="A314" t="s">
        <v>129</v>
      </c>
      <c r="D314" t="str">
        <f t="shared" si="4"/>
        <v xml:space="preserve">    -4.33146851719357e-015,  !- Vertex 3 X-coordinate {m}</v>
      </c>
    </row>
    <row r="315" spans="1:4" x14ac:dyDescent="0.3">
      <c r="A315" t="s">
        <v>137</v>
      </c>
      <c r="D315" t="str">
        <f t="shared" si="4"/>
        <v xml:space="preserve">    3.97051280742744e-015,   !- Vertex 3 Y-coordinate {m}</v>
      </c>
    </row>
    <row r="316" spans="1:4" x14ac:dyDescent="0.3">
      <c r="A316" t="s">
        <v>60</v>
      </c>
      <c r="D316" t="str">
        <f t="shared" si="4"/>
        <v xml:space="preserve">    0,                       !- Vertex 3 Z-coordinate {m}</v>
      </c>
    </row>
    <row r="317" spans="1:4" x14ac:dyDescent="0.3">
      <c r="A317" t="s">
        <v>131</v>
      </c>
      <c r="D317" t="str">
        <f t="shared" si="4"/>
        <v xml:space="preserve">    -4.33146851719357e-015,  !- Vertex 4 X-coordinate {m}</v>
      </c>
    </row>
    <row r="318" spans="1:4" x14ac:dyDescent="0.3">
      <c r="A318" t="s">
        <v>138</v>
      </c>
      <c r="D318" t="str">
        <f t="shared" si="4"/>
        <v xml:space="preserve">    3.97051280742744e-015,   !- Vertex 4 Y-coordinate {m}</v>
      </c>
    </row>
    <row r="319" spans="1:4" x14ac:dyDescent="0.3">
      <c r="A319" t="s">
        <v>63</v>
      </c>
      <c r="D319" t="str">
        <f t="shared" si="4"/>
        <v xml:space="preserve">    2.7;                     !- Vertex 4 Z-coordinate {m}</v>
      </c>
    </row>
    <row r="320" spans="1:4" x14ac:dyDescent="0.3">
      <c r="D320" t="str">
        <f t="shared" si="4"/>
        <v/>
      </c>
    </row>
    <row r="321" spans="1:4" x14ac:dyDescent="0.3">
      <c r="A321" t="s">
        <v>42</v>
      </c>
      <c r="D321" t="str">
        <f t="shared" si="4"/>
        <v>BuildingSurface:Detailed,</v>
      </c>
    </row>
    <row r="322" spans="1:4" x14ac:dyDescent="0.3">
      <c r="A322" t="s">
        <v>139</v>
      </c>
      <c r="D322" t="str">
        <f t="shared" ref="D322:D385" si="5">CONCATENATE(A322,B322)</f>
        <v xml:space="preserve">    ParedeQuarto1Leste,      !- Name</v>
      </c>
    </row>
    <row r="323" spans="1:4" x14ac:dyDescent="0.3">
      <c r="A323" t="s">
        <v>44</v>
      </c>
      <c r="D323" t="str">
        <f t="shared" si="5"/>
        <v xml:space="preserve">    Wall,                    !- Surface Type</v>
      </c>
    </row>
    <row r="324" spans="1:4" x14ac:dyDescent="0.3">
      <c r="A324" t="str">
        <f>A1048574</f>
        <v>Parede  Tijolo cerâmico 9x14x24 c/ argamassa int e ext</v>
      </c>
      <c r="B324" t="s">
        <v>422</v>
      </c>
      <c r="D324" t="str">
        <f t="shared" si="5"/>
        <v>Parede  Tijolo cerâmico 9x14x24 c/ argamassa int e ext,!- Construction Name</v>
      </c>
    </row>
    <row r="325" spans="1:4" x14ac:dyDescent="0.3">
      <c r="A325" t="s">
        <v>123</v>
      </c>
      <c r="D325" t="str">
        <f t="shared" si="5"/>
        <v xml:space="preserve">    Quarto1,                 !- Zone Name</v>
      </c>
    </row>
    <row r="326" spans="1:4" x14ac:dyDescent="0.3">
      <c r="A326" t="s">
        <v>71</v>
      </c>
      <c r="D326" t="str">
        <f t="shared" si="5"/>
        <v xml:space="preserve">    Outdoors,                !- Outside Boundary Condition</v>
      </c>
    </row>
    <row r="327" spans="1:4" x14ac:dyDescent="0.3">
      <c r="A327" t="s">
        <v>72</v>
      </c>
      <c r="D327" t="str">
        <f t="shared" si="5"/>
        <v xml:space="preserve">    ,                        !- Outside Boundary Condition Object</v>
      </c>
    </row>
    <row r="328" spans="1:4" x14ac:dyDescent="0.3">
      <c r="A328" t="s">
        <v>73</v>
      </c>
      <c r="D328" t="str">
        <f t="shared" si="5"/>
        <v xml:space="preserve">    SunExposed,              !- Sun Exposure</v>
      </c>
    </row>
    <row r="329" spans="1:4" x14ac:dyDescent="0.3">
      <c r="A329" t="s">
        <v>74</v>
      </c>
      <c r="D329" t="str">
        <f t="shared" si="5"/>
        <v xml:space="preserve">    WindExposed,             !- Wind Exposure</v>
      </c>
    </row>
    <row r="330" spans="1:4" x14ac:dyDescent="0.3">
      <c r="A330" t="s">
        <v>50</v>
      </c>
      <c r="D330" t="str">
        <f t="shared" si="5"/>
        <v xml:space="preserve">    ,                        !- View Factor to Ground</v>
      </c>
    </row>
    <row r="331" spans="1:4" x14ac:dyDescent="0.3">
      <c r="A331" t="s">
        <v>51</v>
      </c>
      <c r="D331" t="str">
        <f t="shared" si="5"/>
        <v xml:space="preserve">    ,                        !- Number of Vertices</v>
      </c>
    </row>
    <row r="332" spans="1:4" x14ac:dyDescent="0.3">
      <c r="A332" t="s">
        <v>125</v>
      </c>
      <c r="D332" t="str">
        <f t="shared" si="5"/>
        <v xml:space="preserve">    2.71999999999999,        !- Vertex 1 X-coordinate {m}</v>
      </c>
    </row>
    <row r="333" spans="1:4" x14ac:dyDescent="0.3">
      <c r="A333" t="s">
        <v>140</v>
      </c>
      <c r="D333" t="str">
        <f t="shared" si="5"/>
        <v xml:space="preserve">    3.97051280742744e-015,   !- Vertex 1 Y-coordinate {m}</v>
      </c>
    </row>
    <row r="334" spans="1:4" x14ac:dyDescent="0.3">
      <c r="A334" t="s">
        <v>54</v>
      </c>
      <c r="D334" t="str">
        <f t="shared" si="5"/>
        <v xml:space="preserve">    2.7,                     !- Vertex 1 Z-coordinate {m}</v>
      </c>
    </row>
    <row r="335" spans="1:4" x14ac:dyDescent="0.3">
      <c r="A335" t="s">
        <v>127</v>
      </c>
      <c r="D335" t="str">
        <f t="shared" si="5"/>
        <v xml:space="preserve">    2.71999999999999,        !- Vertex 2 X-coordinate {m}</v>
      </c>
    </row>
    <row r="336" spans="1:4" x14ac:dyDescent="0.3">
      <c r="A336" t="s">
        <v>141</v>
      </c>
      <c r="D336" t="str">
        <f t="shared" si="5"/>
        <v xml:space="preserve">    3.97051280742744e-015,   !- Vertex 2 Y-coordinate {m}</v>
      </c>
    </row>
    <row r="337" spans="1:4" x14ac:dyDescent="0.3">
      <c r="A337" t="s">
        <v>57</v>
      </c>
      <c r="D337" t="str">
        <f t="shared" si="5"/>
        <v xml:space="preserve">    0,                       !- Vertex 2 Z-coordinate {m}</v>
      </c>
    </row>
    <row r="338" spans="1:4" x14ac:dyDescent="0.3">
      <c r="A338" t="s">
        <v>142</v>
      </c>
      <c r="D338" t="str">
        <f t="shared" si="5"/>
        <v xml:space="preserve">    2.71999999999999,        !- Vertex 3 X-coordinate {m}</v>
      </c>
    </row>
    <row r="339" spans="1:4" x14ac:dyDescent="0.3">
      <c r="A339" t="s">
        <v>130</v>
      </c>
      <c r="D339" t="str">
        <f t="shared" si="5"/>
        <v xml:space="preserve">    2.95328087937421,        !- Vertex 3 Y-coordinate {m}</v>
      </c>
    </row>
    <row r="340" spans="1:4" x14ac:dyDescent="0.3">
      <c r="A340" t="s">
        <v>60</v>
      </c>
      <c r="D340" t="str">
        <f t="shared" si="5"/>
        <v xml:space="preserve">    0,                       !- Vertex 3 Z-coordinate {m}</v>
      </c>
    </row>
    <row r="341" spans="1:4" x14ac:dyDescent="0.3">
      <c r="A341" t="s">
        <v>143</v>
      </c>
      <c r="D341" t="str">
        <f t="shared" si="5"/>
        <v xml:space="preserve">    2.71999999999999,        !- Vertex 4 X-coordinate {m}</v>
      </c>
    </row>
    <row r="342" spans="1:4" x14ac:dyDescent="0.3">
      <c r="A342" t="s">
        <v>132</v>
      </c>
      <c r="D342" t="str">
        <f t="shared" si="5"/>
        <v xml:space="preserve">    2.95328087937421,        !- Vertex 4 Y-coordinate {m}</v>
      </c>
    </row>
    <row r="343" spans="1:4" x14ac:dyDescent="0.3">
      <c r="A343" t="s">
        <v>63</v>
      </c>
      <c r="D343" t="str">
        <f t="shared" si="5"/>
        <v xml:space="preserve">    2.7;                     !- Vertex 4 Z-coordinate {m}</v>
      </c>
    </row>
    <row r="344" spans="1:4" x14ac:dyDescent="0.3">
      <c r="D344" t="str">
        <f t="shared" si="5"/>
        <v/>
      </c>
    </row>
    <row r="345" spans="1:4" x14ac:dyDescent="0.3">
      <c r="A345" t="s">
        <v>42</v>
      </c>
      <c r="D345" t="str">
        <f t="shared" si="5"/>
        <v>BuildingSurface:Detailed,</v>
      </c>
    </row>
    <row r="346" spans="1:4" x14ac:dyDescent="0.3">
      <c r="A346" t="s">
        <v>144</v>
      </c>
      <c r="D346" t="str">
        <f t="shared" si="5"/>
        <v xml:space="preserve">    ParedeQuarto1Sul,        !- Name</v>
      </c>
    </row>
    <row r="347" spans="1:4" x14ac:dyDescent="0.3">
      <c r="A347" t="s">
        <v>44</v>
      </c>
      <c r="D347" t="str">
        <f t="shared" si="5"/>
        <v xml:space="preserve">    Wall,                    !- Surface Type</v>
      </c>
    </row>
    <row r="348" spans="1:4" x14ac:dyDescent="0.3">
      <c r="A348" t="str">
        <f>A1048574</f>
        <v>Parede  Tijolo cerâmico 9x14x24 c/ argamassa int e ext</v>
      </c>
      <c r="B348" t="s">
        <v>422</v>
      </c>
      <c r="D348" t="str">
        <f t="shared" si="5"/>
        <v>Parede  Tijolo cerâmico 9x14x24 c/ argamassa int e ext,!- Construction Name</v>
      </c>
    </row>
    <row r="349" spans="1:4" x14ac:dyDescent="0.3">
      <c r="A349" t="s">
        <v>123</v>
      </c>
      <c r="D349" t="str">
        <f t="shared" si="5"/>
        <v xml:space="preserve">    Quarto1,                 !- Zone Name</v>
      </c>
    </row>
    <row r="350" spans="1:4" x14ac:dyDescent="0.3">
      <c r="A350" t="s">
        <v>71</v>
      </c>
      <c r="D350" t="str">
        <f t="shared" si="5"/>
        <v xml:space="preserve">    Outdoors,                !- Outside Boundary Condition</v>
      </c>
    </row>
    <row r="351" spans="1:4" x14ac:dyDescent="0.3">
      <c r="A351" t="s">
        <v>72</v>
      </c>
      <c r="D351" t="str">
        <f t="shared" si="5"/>
        <v xml:space="preserve">    ,                        !- Outside Boundary Condition Object</v>
      </c>
    </row>
    <row r="352" spans="1:4" x14ac:dyDescent="0.3">
      <c r="A352" t="s">
        <v>73</v>
      </c>
      <c r="D352" t="str">
        <f t="shared" si="5"/>
        <v xml:space="preserve">    SunExposed,              !- Sun Exposure</v>
      </c>
    </row>
    <row r="353" spans="1:4" x14ac:dyDescent="0.3">
      <c r="A353" t="s">
        <v>74</v>
      </c>
      <c r="D353" t="str">
        <f t="shared" si="5"/>
        <v xml:space="preserve">    WindExposed,             !- Wind Exposure</v>
      </c>
    </row>
    <row r="354" spans="1:4" x14ac:dyDescent="0.3">
      <c r="A354" t="s">
        <v>50</v>
      </c>
      <c r="D354" t="str">
        <f t="shared" si="5"/>
        <v xml:space="preserve">    ,                        !- View Factor to Ground</v>
      </c>
    </row>
    <row r="355" spans="1:4" x14ac:dyDescent="0.3">
      <c r="A355" t="s">
        <v>51</v>
      </c>
      <c r="D355" t="str">
        <f t="shared" si="5"/>
        <v xml:space="preserve">    ,                        !- Number of Vertices</v>
      </c>
    </row>
    <row r="356" spans="1:4" x14ac:dyDescent="0.3">
      <c r="A356" t="s">
        <v>135</v>
      </c>
      <c r="D356" t="str">
        <f t="shared" si="5"/>
        <v xml:space="preserve">    -4.33146851719357e-015,  !- Vertex 1 X-coordinate {m}</v>
      </c>
    </row>
    <row r="357" spans="1:4" x14ac:dyDescent="0.3">
      <c r="A357" t="s">
        <v>140</v>
      </c>
      <c r="D357" t="str">
        <f t="shared" si="5"/>
        <v xml:space="preserve">    3.97051280742744e-015,   !- Vertex 1 Y-coordinate {m}</v>
      </c>
    </row>
    <row r="358" spans="1:4" x14ac:dyDescent="0.3">
      <c r="A358" t="s">
        <v>54</v>
      </c>
      <c r="D358" t="str">
        <f t="shared" si="5"/>
        <v xml:space="preserve">    2.7,                     !- Vertex 1 Z-coordinate {m}</v>
      </c>
    </row>
    <row r="359" spans="1:4" x14ac:dyDescent="0.3">
      <c r="A359" t="s">
        <v>136</v>
      </c>
      <c r="D359" t="str">
        <f t="shared" si="5"/>
        <v xml:space="preserve">    -4.33146851719357e-015,  !- Vertex 2 X-coordinate {m}</v>
      </c>
    </row>
    <row r="360" spans="1:4" x14ac:dyDescent="0.3">
      <c r="A360" t="s">
        <v>141</v>
      </c>
      <c r="D360" t="str">
        <f t="shared" si="5"/>
        <v xml:space="preserve">    3.97051280742744e-015,   !- Vertex 2 Y-coordinate {m}</v>
      </c>
    </row>
    <row r="361" spans="1:4" x14ac:dyDescent="0.3">
      <c r="A361" t="s">
        <v>57</v>
      </c>
      <c r="D361" t="str">
        <f t="shared" si="5"/>
        <v xml:space="preserve">    0,                       !- Vertex 2 Z-coordinate {m}</v>
      </c>
    </row>
    <row r="362" spans="1:4" x14ac:dyDescent="0.3">
      <c r="A362" t="s">
        <v>142</v>
      </c>
      <c r="D362" t="str">
        <f t="shared" si="5"/>
        <v xml:space="preserve">    2.71999999999999,        !- Vertex 3 X-coordinate {m}</v>
      </c>
    </row>
    <row r="363" spans="1:4" x14ac:dyDescent="0.3">
      <c r="A363" t="s">
        <v>137</v>
      </c>
      <c r="D363" t="str">
        <f t="shared" si="5"/>
        <v xml:space="preserve">    3.97051280742744e-015,   !- Vertex 3 Y-coordinate {m}</v>
      </c>
    </row>
    <row r="364" spans="1:4" x14ac:dyDescent="0.3">
      <c r="A364" t="s">
        <v>60</v>
      </c>
      <c r="D364" t="str">
        <f t="shared" si="5"/>
        <v xml:space="preserve">    0,                       !- Vertex 3 Z-coordinate {m}</v>
      </c>
    </row>
    <row r="365" spans="1:4" x14ac:dyDescent="0.3">
      <c r="A365" t="s">
        <v>143</v>
      </c>
      <c r="D365" t="str">
        <f t="shared" si="5"/>
        <v xml:space="preserve">    2.71999999999999,        !- Vertex 4 X-coordinate {m}</v>
      </c>
    </row>
    <row r="366" spans="1:4" x14ac:dyDescent="0.3">
      <c r="A366" t="s">
        <v>138</v>
      </c>
      <c r="D366" t="str">
        <f t="shared" si="5"/>
        <v xml:space="preserve">    3.97051280742744e-015,   !- Vertex 4 Y-coordinate {m}</v>
      </c>
    </row>
    <row r="367" spans="1:4" x14ac:dyDescent="0.3">
      <c r="A367" t="s">
        <v>63</v>
      </c>
      <c r="D367" t="str">
        <f t="shared" si="5"/>
        <v xml:space="preserve">    2.7;                     !- Vertex 4 Z-coordinate {m}</v>
      </c>
    </row>
    <row r="368" spans="1:4" x14ac:dyDescent="0.3">
      <c r="D368" t="str">
        <f t="shared" si="5"/>
        <v/>
      </c>
    </row>
    <row r="369" spans="1:4" x14ac:dyDescent="0.3">
      <c r="A369" t="s">
        <v>42</v>
      </c>
      <c r="D369" t="str">
        <f t="shared" si="5"/>
        <v>BuildingSurface:Detailed,</v>
      </c>
    </row>
    <row r="370" spans="1:4" x14ac:dyDescent="0.3">
      <c r="A370" t="s">
        <v>145</v>
      </c>
      <c r="D370" t="str">
        <f t="shared" si="5"/>
        <v xml:space="preserve">    Surface 15,              !- Name</v>
      </c>
    </row>
    <row r="371" spans="1:4" x14ac:dyDescent="0.3">
      <c r="A371" t="s">
        <v>104</v>
      </c>
      <c r="D371" t="str">
        <f t="shared" si="5"/>
        <v xml:space="preserve">    Floor,                   !- Surface Type</v>
      </c>
    </row>
    <row r="372" spans="1:4" x14ac:dyDescent="0.3">
      <c r="A372" t="s">
        <v>105</v>
      </c>
      <c r="D372" t="str">
        <f t="shared" si="5"/>
        <v xml:space="preserve">    Laje protendida alveolar,!- Construction Name</v>
      </c>
    </row>
    <row r="373" spans="1:4" x14ac:dyDescent="0.3">
      <c r="A373" t="s">
        <v>123</v>
      </c>
      <c r="D373" t="str">
        <f t="shared" si="5"/>
        <v xml:space="preserve">    Quarto1,                 !- Zone Name</v>
      </c>
    </row>
    <row r="374" spans="1:4" x14ac:dyDescent="0.3">
      <c r="A374" t="s">
        <v>106</v>
      </c>
      <c r="D374" t="str">
        <f t="shared" si="5"/>
        <v xml:space="preserve">    Ground,                  !- Outside Boundary Condition</v>
      </c>
    </row>
    <row r="375" spans="1:4" x14ac:dyDescent="0.3">
      <c r="A375" t="s">
        <v>72</v>
      </c>
      <c r="D375" t="str">
        <f t="shared" si="5"/>
        <v xml:space="preserve">    ,                        !- Outside Boundary Condition Object</v>
      </c>
    </row>
    <row r="376" spans="1:4" x14ac:dyDescent="0.3">
      <c r="A376" t="s">
        <v>48</v>
      </c>
      <c r="D376" t="str">
        <f t="shared" si="5"/>
        <v xml:space="preserve">    NoSun,                   !- Sun Exposure</v>
      </c>
    </row>
    <row r="377" spans="1:4" x14ac:dyDescent="0.3">
      <c r="A377" t="s">
        <v>49</v>
      </c>
      <c r="D377" t="str">
        <f t="shared" si="5"/>
        <v xml:space="preserve">    NoWind,                  !- Wind Exposure</v>
      </c>
    </row>
    <row r="378" spans="1:4" x14ac:dyDescent="0.3">
      <c r="A378" t="s">
        <v>50</v>
      </c>
      <c r="D378" t="str">
        <f t="shared" si="5"/>
        <v xml:space="preserve">    ,                        !- View Factor to Ground</v>
      </c>
    </row>
    <row r="379" spans="1:4" x14ac:dyDescent="0.3">
      <c r="A379" t="s">
        <v>51</v>
      </c>
      <c r="D379" t="str">
        <f t="shared" si="5"/>
        <v xml:space="preserve">    ,                        !- Number of Vertices</v>
      </c>
    </row>
    <row r="380" spans="1:4" x14ac:dyDescent="0.3">
      <c r="A380" t="s">
        <v>125</v>
      </c>
      <c r="D380" t="str">
        <f t="shared" si="5"/>
        <v xml:space="preserve">    2.71999999999999,        !- Vertex 1 X-coordinate {m}</v>
      </c>
    </row>
    <row r="381" spans="1:4" x14ac:dyDescent="0.3">
      <c r="A381" t="s">
        <v>126</v>
      </c>
      <c r="D381" t="str">
        <f t="shared" si="5"/>
        <v xml:space="preserve">    2.95328087937421,        !- Vertex 1 Y-coordinate {m}</v>
      </c>
    </row>
    <row r="382" spans="1:4" x14ac:dyDescent="0.3">
      <c r="A382" t="s">
        <v>107</v>
      </c>
      <c r="D382" t="str">
        <f t="shared" si="5"/>
        <v xml:space="preserve">    0,                       !- Vertex 1 Z-coordinate {m}</v>
      </c>
    </row>
    <row r="383" spans="1:4" x14ac:dyDescent="0.3">
      <c r="A383" t="s">
        <v>127</v>
      </c>
      <c r="D383" t="str">
        <f t="shared" si="5"/>
        <v xml:space="preserve">    2.71999999999999,        !- Vertex 2 X-coordinate {m}</v>
      </c>
    </row>
    <row r="384" spans="1:4" x14ac:dyDescent="0.3">
      <c r="A384" t="s">
        <v>141</v>
      </c>
      <c r="D384" t="str">
        <f t="shared" si="5"/>
        <v xml:space="preserve">    3.97051280742744e-015,   !- Vertex 2 Y-coordinate {m}</v>
      </c>
    </row>
    <row r="385" spans="1:4" x14ac:dyDescent="0.3">
      <c r="A385" t="s">
        <v>57</v>
      </c>
      <c r="D385" t="str">
        <f t="shared" si="5"/>
        <v xml:space="preserve">    0,                       !- Vertex 2 Z-coordinate {m}</v>
      </c>
    </row>
    <row r="386" spans="1:4" x14ac:dyDescent="0.3">
      <c r="A386" t="s">
        <v>129</v>
      </c>
      <c r="D386" t="str">
        <f t="shared" ref="D386:D449" si="6">CONCATENATE(A386,B386)</f>
        <v xml:space="preserve">    -4.33146851719357e-015,  !- Vertex 3 X-coordinate {m}</v>
      </c>
    </row>
    <row r="387" spans="1:4" x14ac:dyDescent="0.3">
      <c r="A387" t="s">
        <v>137</v>
      </c>
      <c r="D387" t="str">
        <f t="shared" si="6"/>
        <v xml:space="preserve">    3.97051280742744e-015,   !- Vertex 3 Y-coordinate {m}</v>
      </c>
    </row>
    <row r="388" spans="1:4" x14ac:dyDescent="0.3">
      <c r="A388" t="s">
        <v>60</v>
      </c>
      <c r="D388" t="str">
        <f t="shared" si="6"/>
        <v xml:space="preserve">    0,                       !- Vertex 3 Z-coordinate {m}</v>
      </c>
    </row>
    <row r="389" spans="1:4" x14ac:dyDescent="0.3">
      <c r="A389" t="s">
        <v>131</v>
      </c>
      <c r="D389" t="str">
        <f t="shared" si="6"/>
        <v xml:space="preserve">    -4.33146851719357e-015,  !- Vertex 4 X-coordinate {m}</v>
      </c>
    </row>
    <row r="390" spans="1:4" x14ac:dyDescent="0.3">
      <c r="A390" t="s">
        <v>132</v>
      </c>
      <c r="D390" t="str">
        <f t="shared" si="6"/>
        <v xml:space="preserve">    2.95328087937421,        !- Vertex 4 Y-coordinate {m}</v>
      </c>
    </row>
    <row r="391" spans="1:4" x14ac:dyDescent="0.3">
      <c r="A391" t="s">
        <v>146</v>
      </c>
      <c r="D391" t="str">
        <f t="shared" si="6"/>
        <v xml:space="preserve">    0;                       !- Vertex 4 Z-coordinate {m}</v>
      </c>
    </row>
    <row r="392" spans="1:4" x14ac:dyDescent="0.3">
      <c r="D392" t="str">
        <f t="shared" si="6"/>
        <v/>
      </c>
    </row>
    <row r="393" spans="1:4" x14ac:dyDescent="0.3">
      <c r="A393" t="s">
        <v>42</v>
      </c>
      <c r="D393" t="str">
        <f t="shared" si="6"/>
        <v>BuildingSurface:Detailed,</v>
      </c>
    </row>
    <row r="394" spans="1:4" x14ac:dyDescent="0.3">
      <c r="A394" t="s">
        <v>147</v>
      </c>
      <c r="D394" t="str">
        <f t="shared" si="6"/>
        <v xml:space="preserve">    Surface 16,              !- Name</v>
      </c>
    </row>
    <row r="395" spans="1:4" x14ac:dyDescent="0.3">
      <c r="A395" t="s">
        <v>116</v>
      </c>
      <c r="D395" t="str">
        <f t="shared" si="6"/>
        <v xml:space="preserve">    Ceiling,                 !- Surface Type</v>
      </c>
    </row>
    <row r="396" spans="1:4" x14ac:dyDescent="0.3">
      <c r="A396" t="str">
        <f>B1048574</f>
        <v>Forro PVC</v>
      </c>
      <c r="B396" t="s">
        <v>427</v>
      </c>
      <c r="D396" t="str">
        <f t="shared" si="6"/>
        <v>Forro PVC,               !- Construction Name</v>
      </c>
    </row>
    <row r="397" spans="1:4" x14ac:dyDescent="0.3">
      <c r="A397" t="s">
        <v>123</v>
      </c>
      <c r="D397" t="str">
        <f t="shared" si="6"/>
        <v xml:space="preserve">    Quarto1,                 !- Zone Name</v>
      </c>
    </row>
    <row r="398" spans="1:4" x14ac:dyDescent="0.3">
      <c r="A398" t="s">
        <v>46</v>
      </c>
      <c r="D398" t="str">
        <f t="shared" si="6"/>
        <v xml:space="preserve">    Surface,                 !- Outside Boundary Condition</v>
      </c>
    </row>
    <row r="399" spans="1:4" x14ac:dyDescent="0.3">
      <c r="A399" t="s">
        <v>148</v>
      </c>
      <c r="D399" t="str">
        <f t="shared" si="6"/>
        <v xml:space="preserve">    ForroQuarto1,            !- Outside Boundary Condition Object</v>
      </c>
    </row>
    <row r="400" spans="1:4" x14ac:dyDescent="0.3">
      <c r="A400" t="s">
        <v>48</v>
      </c>
      <c r="D400" t="str">
        <f t="shared" si="6"/>
        <v xml:space="preserve">    NoSun,                   !- Sun Exposure</v>
      </c>
    </row>
    <row r="401" spans="1:4" x14ac:dyDescent="0.3">
      <c r="A401" t="s">
        <v>49</v>
      </c>
      <c r="D401" t="str">
        <f t="shared" si="6"/>
        <v xml:space="preserve">    NoWind,                  !- Wind Exposure</v>
      </c>
    </row>
    <row r="402" spans="1:4" x14ac:dyDescent="0.3">
      <c r="A402" t="s">
        <v>50</v>
      </c>
      <c r="D402" t="str">
        <f t="shared" si="6"/>
        <v xml:space="preserve">    ,                        !- View Factor to Ground</v>
      </c>
    </row>
    <row r="403" spans="1:4" x14ac:dyDescent="0.3">
      <c r="A403" t="s">
        <v>51</v>
      </c>
      <c r="D403" t="str">
        <f t="shared" si="6"/>
        <v xml:space="preserve">    ,                        !- Number of Vertices</v>
      </c>
    </row>
    <row r="404" spans="1:4" x14ac:dyDescent="0.3">
      <c r="A404" t="s">
        <v>125</v>
      </c>
      <c r="D404" t="str">
        <f t="shared" si="6"/>
        <v xml:space="preserve">    2.71999999999999,        !- Vertex 1 X-coordinate {m}</v>
      </c>
    </row>
    <row r="405" spans="1:4" x14ac:dyDescent="0.3">
      <c r="A405" t="s">
        <v>140</v>
      </c>
      <c r="D405" t="str">
        <f t="shared" si="6"/>
        <v xml:space="preserve">    3.97051280742744e-015,   !- Vertex 1 Y-coordinate {m}</v>
      </c>
    </row>
    <row r="406" spans="1:4" x14ac:dyDescent="0.3">
      <c r="A406" t="s">
        <v>54</v>
      </c>
      <c r="D406" t="str">
        <f t="shared" si="6"/>
        <v xml:space="preserve">    2.7,                     !- Vertex 1 Z-coordinate {m}</v>
      </c>
    </row>
    <row r="407" spans="1:4" x14ac:dyDescent="0.3">
      <c r="A407" t="s">
        <v>127</v>
      </c>
      <c r="D407" t="str">
        <f t="shared" si="6"/>
        <v xml:space="preserve">    2.71999999999999,        !- Vertex 2 X-coordinate {m}</v>
      </c>
    </row>
    <row r="408" spans="1:4" x14ac:dyDescent="0.3">
      <c r="A408" t="s">
        <v>128</v>
      </c>
      <c r="D408" t="str">
        <f t="shared" si="6"/>
        <v xml:space="preserve">    2.95328087937421,        !- Vertex 2 Y-coordinate {m}</v>
      </c>
    </row>
    <row r="409" spans="1:4" x14ac:dyDescent="0.3">
      <c r="A409" t="s">
        <v>118</v>
      </c>
      <c r="D409" t="str">
        <f t="shared" si="6"/>
        <v xml:space="preserve">    2.7,                     !- Vertex 2 Z-coordinate {m}</v>
      </c>
    </row>
    <row r="410" spans="1:4" x14ac:dyDescent="0.3">
      <c r="A410" t="s">
        <v>129</v>
      </c>
      <c r="D410" t="str">
        <f t="shared" si="6"/>
        <v xml:space="preserve">    -4.33146851719357e-015,  !- Vertex 3 X-coordinate {m}</v>
      </c>
    </row>
    <row r="411" spans="1:4" x14ac:dyDescent="0.3">
      <c r="A411" t="s">
        <v>130</v>
      </c>
      <c r="D411" t="str">
        <f t="shared" si="6"/>
        <v xml:space="preserve">    2.95328087937421,        !- Vertex 3 Y-coordinate {m}</v>
      </c>
    </row>
    <row r="412" spans="1:4" x14ac:dyDescent="0.3">
      <c r="A412" t="s">
        <v>120</v>
      </c>
      <c r="D412" t="str">
        <f t="shared" si="6"/>
        <v xml:space="preserve">    2.7,                     !- Vertex 3 Z-coordinate {m}</v>
      </c>
    </row>
    <row r="413" spans="1:4" x14ac:dyDescent="0.3">
      <c r="A413" t="s">
        <v>131</v>
      </c>
      <c r="D413" t="str">
        <f t="shared" si="6"/>
        <v xml:space="preserve">    -4.33146851719357e-015,  !- Vertex 4 X-coordinate {m}</v>
      </c>
    </row>
    <row r="414" spans="1:4" x14ac:dyDescent="0.3">
      <c r="A414" t="s">
        <v>138</v>
      </c>
      <c r="D414" t="str">
        <f t="shared" si="6"/>
        <v xml:space="preserve">    3.97051280742744e-015,   !- Vertex 4 Y-coordinate {m}</v>
      </c>
    </row>
    <row r="415" spans="1:4" x14ac:dyDescent="0.3">
      <c r="A415" t="s">
        <v>63</v>
      </c>
      <c r="D415" t="str">
        <f t="shared" si="6"/>
        <v xml:space="preserve">    2.7;                     !- Vertex 4 Z-coordinate {m}</v>
      </c>
    </row>
    <row r="416" spans="1:4" x14ac:dyDescent="0.3">
      <c r="D416" t="str">
        <f t="shared" si="6"/>
        <v/>
      </c>
    </row>
    <row r="417" spans="1:4" x14ac:dyDescent="0.3">
      <c r="A417" t="s">
        <v>42</v>
      </c>
      <c r="D417" t="str">
        <f t="shared" si="6"/>
        <v>BuildingSurface:Detailed,</v>
      </c>
    </row>
    <row r="418" spans="1:4" x14ac:dyDescent="0.3">
      <c r="A418" t="s">
        <v>149</v>
      </c>
      <c r="D418" t="str">
        <f t="shared" si="6"/>
        <v xml:space="preserve">    ParedeIntQuarto2Quarto1, !- Name</v>
      </c>
    </row>
    <row r="419" spans="1:4" x14ac:dyDescent="0.3">
      <c r="A419" t="s">
        <v>44</v>
      </c>
      <c r="D419" t="str">
        <f t="shared" si="6"/>
        <v xml:space="preserve">    Wall,                    !- Surface Type</v>
      </c>
    </row>
    <row r="420" spans="1:4" x14ac:dyDescent="0.3">
      <c r="A420" t="str">
        <f>A1048574</f>
        <v>Parede  Tijolo cerâmico 9x14x24 c/ argamassa int e ext</v>
      </c>
      <c r="B420" t="s">
        <v>428</v>
      </c>
      <c r="D420" t="str">
        <f t="shared" si="6"/>
        <v>Parede  Tijolo cerâmico 9x14x24 c/ argamassa int e ext             ,  !- Construction Name</v>
      </c>
    </row>
    <row r="421" spans="1:4" x14ac:dyDescent="0.3">
      <c r="A421" t="s">
        <v>150</v>
      </c>
      <c r="D421" t="str">
        <f t="shared" si="6"/>
        <v xml:space="preserve">    Quarto2,                 !- Zone Name</v>
      </c>
    </row>
    <row r="422" spans="1:4" x14ac:dyDescent="0.3">
      <c r="A422" t="s">
        <v>46</v>
      </c>
      <c r="D422" t="str">
        <f t="shared" si="6"/>
        <v xml:space="preserve">    Surface,                 !- Outside Boundary Condition</v>
      </c>
    </row>
    <row r="423" spans="1:4" x14ac:dyDescent="0.3">
      <c r="A423" t="s">
        <v>151</v>
      </c>
      <c r="D423" t="str">
        <f t="shared" si="6"/>
        <v xml:space="preserve">    ParedeIntQuarto1Quarto2, !- Outside Boundary Condition Object</v>
      </c>
    </row>
    <row r="424" spans="1:4" x14ac:dyDescent="0.3">
      <c r="A424" t="s">
        <v>48</v>
      </c>
      <c r="D424" t="str">
        <f t="shared" si="6"/>
        <v xml:space="preserve">    NoSun,                   !- Sun Exposure</v>
      </c>
    </row>
    <row r="425" spans="1:4" x14ac:dyDescent="0.3">
      <c r="A425" t="s">
        <v>49</v>
      </c>
      <c r="D425" t="str">
        <f t="shared" si="6"/>
        <v xml:space="preserve">    NoWind,                  !- Wind Exposure</v>
      </c>
    </row>
    <row r="426" spans="1:4" x14ac:dyDescent="0.3">
      <c r="A426" t="s">
        <v>50</v>
      </c>
      <c r="D426" t="str">
        <f t="shared" si="6"/>
        <v xml:space="preserve">    ,                        !- View Factor to Ground</v>
      </c>
    </row>
    <row r="427" spans="1:4" x14ac:dyDescent="0.3">
      <c r="A427" t="s">
        <v>51</v>
      </c>
      <c r="D427" t="str">
        <f t="shared" si="6"/>
        <v xml:space="preserve">    ,                        !- Number of Vertices</v>
      </c>
    </row>
    <row r="428" spans="1:4" x14ac:dyDescent="0.3">
      <c r="A428" t="s">
        <v>85</v>
      </c>
      <c r="D428" t="str">
        <f t="shared" si="6"/>
        <v xml:space="preserve">    0,                       !- Vertex 1 X-coordinate {m}</v>
      </c>
    </row>
    <row r="429" spans="1:4" x14ac:dyDescent="0.3">
      <c r="A429" t="s">
        <v>75</v>
      </c>
      <c r="D429" t="str">
        <f t="shared" si="6"/>
        <v xml:space="preserve">    0,                       !- Vertex 1 Y-coordinate {m}</v>
      </c>
    </row>
    <row r="430" spans="1:4" x14ac:dyDescent="0.3">
      <c r="A430" t="s">
        <v>54</v>
      </c>
      <c r="D430" t="str">
        <f t="shared" si="6"/>
        <v xml:space="preserve">    2.7,                     !- Vertex 1 Z-coordinate {m}</v>
      </c>
    </row>
    <row r="431" spans="1:4" x14ac:dyDescent="0.3">
      <c r="A431" t="s">
        <v>87</v>
      </c>
      <c r="D431" t="str">
        <f t="shared" si="6"/>
        <v xml:space="preserve">    0,                       !- Vertex 2 X-coordinate {m}</v>
      </c>
    </row>
    <row r="432" spans="1:4" x14ac:dyDescent="0.3">
      <c r="A432" t="s">
        <v>76</v>
      </c>
      <c r="D432" t="str">
        <f t="shared" si="6"/>
        <v xml:space="preserve">    0,                       !- Vertex 2 Y-coordinate {m}</v>
      </c>
    </row>
    <row r="433" spans="1:4" x14ac:dyDescent="0.3">
      <c r="A433" t="s">
        <v>57</v>
      </c>
      <c r="D433" t="str">
        <f t="shared" si="6"/>
        <v xml:space="preserve">    0,                       !- Vertex 2 Z-coordinate {m}</v>
      </c>
    </row>
    <row r="434" spans="1:4" x14ac:dyDescent="0.3">
      <c r="A434" t="s">
        <v>142</v>
      </c>
      <c r="D434" t="str">
        <f t="shared" si="6"/>
        <v xml:space="preserve">    2.71999999999999,        !- Vertex 3 X-coordinate {m}</v>
      </c>
    </row>
    <row r="435" spans="1:4" x14ac:dyDescent="0.3">
      <c r="A435" t="s">
        <v>90</v>
      </c>
      <c r="D435" t="str">
        <f t="shared" si="6"/>
        <v xml:space="preserve">    0,                       !- Vertex 3 Y-coordinate {m}</v>
      </c>
    </row>
    <row r="436" spans="1:4" x14ac:dyDescent="0.3">
      <c r="A436" t="s">
        <v>60</v>
      </c>
      <c r="D436" t="str">
        <f t="shared" si="6"/>
        <v xml:space="preserve">    0,                       !- Vertex 3 Z-coordinate {m}</v>
      </c>
    </row>
    <row r="437" spans="1:4" x14ac:dyDescent="0.3">
      <c r="A437" t="s">
        <v>143</v>
      </c>
      <c r="D437" t="str">
        <f t="shared" si="6"/>
        <v xml:space="preserve">    2.71999999999999,        !- Vertex 4 X-coordinate {m}</v>
      </c>
    </row>
    <row r="438" spans="1:4" x14ac:dyDescent="0.3">
      <c r="A438" t="s">
        <v>92</v>
      </c>
      <c r="D438" t="str">
        <f t="shared" si="6"/>
        <v xml:space="preserve">    0,                       !- Vertex 4 Y-coordinate {m}</v>
      </c>
    </row>
    <row r="439" spans="1:4" x14ac:dyDescent="0.3">
      <c r="A439" t="s">
        <v>63</v>
      </c>
      <c r="D439" t="str">
        <f t="shared" si="6"/>
        <v xml:space="preserve">    2.7;                     !- Vertex 4 Z-coordinate {m}</v>
      </c>
    </row>
    <row r="440" spans="1:4" x14ac:dyDescent="0.3">
      <c r="D440" t="str">
        <f t="shared" si="6"/>
        <v/>
      </c>
    </row>
    <row r="441" spans="1:4" x14ac:dyDescent="0.3">
      <c r="A441" t="s">
        <v>42</v>
      </c>
      <c r="D441" t="str">
        <f t="shared" si="6"/>
        <v>BuildingSurface:Detailed,</v>
      </c>
    </row>
    <row r="442" spans="1:4" x14ac:dyDescent="0.3">
      <c r="A442" t="s">
        <v>152</v>
      </c>
      <c r="D442" t="str">
        <f t="shared" si="6"/>
        <v xml:space="preserve">    ParedeIntQuarto2Sala,    !- Name</v>
      </c>
    </row>
    <row r="443" spans="1:4" x14ac:dyDescent="0.3">
      <c r="A443" t="s">
        <v>44</v>
      </c>
      <c r="D443" t="str">
        <f t="shared" si="6"/>
        <v xml:space="preserve">    Wall,                    !- Surface Type</v>
      </c>
    </row>
    <row r="444" spans="1:4" x14ac:dyDescent="0.3">
      <c r="A444" t="str">
        <f>A1048574</f>
        <v>Parede  Tijolo cerâmico 9x14x24 c/ argamassa int e ext</v>
      </c>
      <c r="B444" t="s">
        <v>428</v>
      </c>
      <c r="D444" t="str">
        <f t="shared" si="6"/>
        <v>Parede  Tijolo cerâmico 9x14x24 c/ argamassa int e ext             ,  !- Construction Name</v>
      </c>
    </row>
    <row r="445" spans="1:4" x14ac:dyDescent="0.3">
      <c r="A445" t="s">
        <v>150</v>
      </c>
      <c r="D445" t="str">
        <f t="shared" si="6"/>
        <v xml:space="preserve">    Quarto2,                 !- Zone Name</v>
      </c>
    </row>
    <row r="446" spans="1:4" x14ac:dyDescent="0.3">
      <c r="A446" t="s">
        <v>46</v>
      </c>
      <c r="D446" t="str">
        <f t="shared" si="6"/>
        <v xml:space="preserve">    Surface,                 !- Outside Boundary Condition</v>
      </c>
    </row>
    <row r="447" spans="1:4" x14ac:dyDescent="0.3">
      <c r="A447" t="s">
        <v>153</v>
      </c>
      <c r="D447" t="str">
        <f t="shared" si="6"/>
        <v xml:space="preserve">    ParedeIntSalaQuarto2,    !- Outside Boundary Condition Object</v>
      </c>
    </row>
    <row r="448" spans="1:4" x14ac:dyDescent="0.3">
      <c r="A448" t="s">
        <v>48</v>
      </c>
      <c r="D448" t="str">
        <f t="shared" si="6"/>
        <v xml:space="preserve">    NoSun,                   !- Sun Exposure</v>
      </c>
    </row>
    <row r="449" spans="1:4" x14ac:dyDescent="0.3">
      <c r="A449" t="s">
        <v>49</v>
      </c>
      <c r="D449" t="str">
        <f t="shared" si="6"/>
        <v xml:space="preserve">    NoWind,                  !- Wind Exposure</v>
      </c>
    </row>
    <row r="450" spans="1:4" x14ac:dyDescent="0.3">
      <c r="A450" t="s">
        <v>50</v>
      </c>
      <c r="D450" t="str">
        <f t="shared" ref="D450:D513" si="7">CONCATENATE(A450,B450)</f>
        <v xml:space="preserve">    ,                        !- View Factor to Ground</v>
      </c>
    </row>
    <row r="451" spans="1:4" x14ac:dyDescent="0.3">
      <c r="A451" t="s">
        <v>51</v>
      </c>
      <c r="D451" t="str">
        <f t="shared" si="7"/>
        <v xml:space="preserve">    ,                        !- Number of Vertices</v>
      </c>
    </row>
    <row r="452" spans="1:4" x14ac:dyDescent="0.3">
      <c r="A452" t="s">
        <v>154</v>
      </c>
      <c r="D452" t="str">
        <f t="shared" si="7"/>
        <v xml:space="preserve">    -2.16573425859679e-015,  !- Vertex 1 X-coordinate {m}</v>
      </c>
    </row>
    <row r="453" spans="1:4" x14ac:dyDescent="0.3">
      <c r="A453" t="s">
        <v>155</v>
      </c>
      <c r="D453" t="str">
        <f t="shared" si="7"/>
        <v xml:space="preserve">    2.77671912062579,        !- Vertex 1 Y-coordinate {m}</v>
      </c>
    </row>
    <row r="454" spans="1:4" x14ac:dyDescent="0.3">
      <c r="A454" t="s">
        <v>54</v>
      </c>
      <c r="D454" t="str">
        <f t="shared" si="7"/>
        <v xml:space="preserve">    2.7,                     !- Vertex 1 Z-coordinate {m}</v>
      </c>
    </row>
    <row r="455" spans="1:4" x14ac:dyDescent="0.3">
      <c r="A455" t="s">
        <v>156</v>
      </c>
      <c r="D455" t="str">
        <f t="shared" si="7"/>
        <v xml:space="preserve">    -2.88764567812905e-015,  !- Vertex 2 X-coordinate {m}</v>
      </c>
    </row>
    <row r="456" spans="1:4" x14ac:dyDescent="0.3">
      <c r="A456" t="s">
        <v>157</v>
      </c>
      <c r="D456" t="str">
        <f t="shared" si="7"/>
        <v xml:space="preserve">    2.77671912062579,        !- Vertex 2 Y-coordinate {m}</v>
      </c>
    </row>
    <row r="457" spans="1:4" x14ac:dyDescent="0.3">
      <c r="A457" t="s">
        <v>158</v>
      </c>
      <c r="D457" t="str">
        <f t="shared" si="7"/>
        <v xml:space="preserve">    -2.17148374021287e-031,  !- Vertex 2 Z-coordinate {m}</v>
      </c>
    </row>
    <row r="458" spans="1:4" x14ac:dyDescent="0.3">
      <c r="A458" t="s">
        <v>89</v>
      </c>
      <c r="D458" t="str">
        <f t="shared" si="7"/>
        <v xml:space="preserve">    0,                       !- Vertex 3 X-coordinate {m}</v>
      </c>
    </row>
    <row r="459" spans="1:4" x14ac:dyDescent="0.3">
      <c r="A459" t="s">
        <v>90</v>
      </c>
      <c r="D459" t="str">
        <f t="shared" si="7"/>
        <v xml:space="preserve">    0,                       !- Vertex 3 Y-coordinate {m}</v>
      </c>
    </row>
    <row r="460" spans="1:4" x14ac:dyDescent="0.3">
      <c r="A460" t="s">
        <v>60</v>
      </c>
      <c r="D460" t="str">
        <f t="shared" si="7"/>
        <v xml:space="preserve">    0,                       !- Vertex 3 Z-coordinate {m}</v>
      </c>
    </row>
    <row r="461" spans="1:4" x14ac:dyDescent="0.3">
      <c r="A461" t="s">
        <v>91</v>
      </c>
      <c r="D461" t="str">
        <f t="shared" si="7"/>
        <v xml:space="preserve">    0,                       !- Vertex 4 X-coordinate {m}</v>
      </c>
    </row>
    <row r="462" spans="1:4" x14ac:dyDescent="0.3">
      <c r="A462" t="s">
        <v>92</v>
      </c>
      <c r="D462" t="str">
        <f t="shared" si="7"/>
        <v xml:space="preserve">    0,                       !- Vertex 4 Y-coordinate {m}</v>
      </c>
    </row>
    <row r="463" spans="1:4" x14ac:dyDescent="0.3">
      <c r="A463" t="s">
        <v>63</v>
      </c>
      <c r="D463" t="str">
        <f t="shared" si="7"/>
        <v xml:space="preserve">    2.7;                     !- Vertex 4 Z-coordinate {m}</v>
      </c>
    </row>
    <row r="464" spans="1:4" x14ac:dyDescent="0.3">
      <c r="D464" t="str">
        <f t="shared" si="7"/>
        <v/>
      </c>
    </row>
    <row r="465" spans="1:4" x14ac:dyDescent="0.3">
      <c r="A465" t="s">
        <v>42</v>
      </c>
      <c r="D465" t="str">
        <f t="shared" si="7"/>
        <v>BuildingSurface:Detailed,</v>
      </c>
    </row>
    <row r="466" spans="1:4" x14ac:dyDescent="0.3">
      <c r="A466" t="s">
        <v>159</v>
      </c>
      <c r="D466" t="str">
        <f t="shared" si="7"/>
        <v xml:space="preserve">    ParedeQuarto2Leste,      !- Name</v>
      </c>
    </row>
    <row r="467" spans="1:4" x14ac:dyDescent="0.3">
      <c r="A467" t="s">
        <v>44</v>
      </c>
      <c r="D467" t="str">
        <f t="shared" si="7"/>
        <v xml:space="preserve">    Wall,                    !- Surface Type</v>
      </c>
    </row>
    <row r="468" spans="1:4" x14ac:dyDescent="0.3">
      <c r="A468" t="str">
        <f>A1048574</f>
        <v>Parede  Tijolo cerâmico 9x14x24 c/ argamassa int e ext</v>
      </c>
      <c r="B468" t="s">
        <v>428</v>
      </c>
      <c r="D468" t="str">
        <f t="shared" si="7"/>
        <v>Parede  Tijolo cerâmico 9x14x24 c/ argamassa int e ext             ,  !- Construction Name</v>
      </c>
    </row>
    <row r="469" spans="1:4" x14ac:dyDescent="0.3">
      <c r="A469" t="s">
        <v>150</v>
      </c>
      <c r="D469" t="str">
        <f t="shared" si="7"/>
        <v xml:space="preserve">    Quarto2,                 !- Zone Name</v>
      </c>
    </row>
    <row r="470" spans="1:4" x14ac:dyDescent="0.3">
      <c r="A470" t="s">
        <v>71</v>
      </c>
      <c r="D470" t="str">
        <f t="shared" si="7"/>
        <v xml:space="preserve">    Outdoors,                !- Outside Boundary Condition</v>
      </c>
    </row>
    <row r="471" spans="1:4" x14ac:dyDescent="0.3">
      <c r="A471" t="s">
        <v>72</v>
      </c>
      <c r="D471" t="str">
        <f t="shared" si="7"/>
        <v xml:space="preserve">    ,                        !- Outside Boundary Condition Object</v>
      </c>
    </row>
    <row r="472" spans="1:4" x14ac:dyDescent="0.3">
      <c r="A472" t="s">
        <v>73</v>
      </c>
      <c r="D472" t="str">
        <f t="shared" si="7"/>
        <v xml:space="preserve">    SunExposed,              !- Sun Exposure</v>
      </c>
    </row>
    <row r="473" spans="1:4" x14ac:dyDescent="0.3">
      <c r="A473" t="s">
        <v>74</v>
      </c>
      <c r="D473" t="str">
        <f t="shared" si="7"/>
        <v xml:space="preserve">    WindExposed,             !- Wind Exposure</v>
      </c>
    </row>
    <row r="474" spans="1:4" x14ac:dyDescent="0.3">
      <c r="A474" t="s">
        <v>50</v>
      </c>
      <c r="D474" t="str">
        <f t="shared" si="7"/>
        <v xml:space="preserve">    ,                        !- View Factor to Ground</v>
      </c>
    </row>
    <row r="475" spans="1:4" x14ac:dyDescent="0.3">
      <c r="A475" t="s">
        <v>51</v>
      </c>
      <c r="D475" t="str">
        <f t="shared" si="7"/>
        <v xml:space="preserve">    ,                        !- Number of Vertices</v>
      </c>
    </row>
    <row r="476" spans="1:4" x14ac:dyDescent="0.3">
      <c r="A476" t="s">
        <v>125</v>
      </c>
      <c r="D476" t="str">
        <f t="shared" si="7"/>
        <v xml:space="preserve">    2.71999999999999,        !- Vertex 1 X-coordinate {m}</v>
      </c>
    </row>
    <row r="477" spans="1:4" x14ac:dyDescent="0.3">
      <c r="A477" t="s">
        <v>75</v>
      </c>
      <c r="D477" t="str">
        <f t="shared" si="7"/>
        <v xml:space="preserve">    0,                       !- Vertex 1 Y-coordinate {m}</v>
      </c>
    </row>
    <row r="478" spans="1:4" x14ac:dyDescent="0.3">
      <c r="A478" t="s">
        <v>54</v>
      </c>
      <c r="D478" t="str">
        <f t="shared" si="7"/>
        <v xml:space="preserve">    2.7,                     !- Vertex 1 Z-coordinate {m}</v>
      </c>
    </row>
    <row r="479" spans="1:4" x14ac:dyDescent="0.3">
      <c r="A479" t="s">
        <v>127</v>
      </c>
      <c r="D479" t="str">
        <f t="shared" si="7"/>
        <v xml:space="preserve">    2.71999999999999,        !- Vertex 2 X-coordinate {m}</v>
      </c>
    </row>
    <row r="480" spans="1:4" x14ac:dyDescent="0.3">
      <c r="A480" t="s">
        <v>76</v>
      </c>
      <c r="D480" t="str">
        <f t="shared" si="7"/>
        <v xml:space="preserve">    0,                       !- Vertex 2 Y-coordinate {m}</v>
      </c>
    </row>
    <row r="481" spans="1:4" x14ac:dyDescent="0.3">
      <c r="A481" t="s">
        <v>57</v>
      </c>
      <c r="D481" t="str">
        <f t="shared" si="7"/>
        <v xml:space="preserve">    0,                       !- Vertex 2 Z-coordinate {m}</v>
      </c>
    </row>
    <row r="482" spans="1:4" x14ac:dyDescent="0.3">
      <c r="A482" t="s">
        <v>142</v>
      </c>
      <c r="D482" t="str">
        <f t="shared" si="7"/>
        <v xml:space="preserve">    2.71999999999999,        !- Vertex 3 X-coordinate {m}</v>
      </c>
    </row>
    <row r="483" spans="1:4" x14ac:dyDescent="0.3">
      <c r="A483" t="s">
        <v>160</v>
      </c>
      <c r="D483" t="str">
        <f t="shared" si="7"/>
        <v xml:space="preserve">    3.28671912062579,        !- Vertex 3 Y-coordinate {m}</v>
      </c>
    </row>
    <row r="484" spans="1:4" x14ac:dyDescent="0.3">
      <c r="A484" t="s">
        <v>60</v>
      </c>
      <c r="D484" t="str">
        <f t="shared" si="7"/>
        <v xml:space="preserve">    0,                       !- Vertex 3 Z-coordinate {m}</v>
      </c>
    </row>
    <row r="485" spans="1:4" x14ac:dyDescent="0.3">
      <c r="A485" t="s">
        <v>143</v>
      </c>
      <c r="D485" t="str">
        <f t="shared" si="7"/>
        <v xml:space="preserve">    2.71999999999999,        !- Vertex 4 X-coordinate {m}</v>
      </c>
    </row>
    <row r="486" spans="1:4" x14ac:dyDescent="0.3">
      <c r="A486" t="s">
        <v>161</v>
      </c>
      <c r="D486" t="str">
        <f t="shared" si="7"/>
        <v xml:space="preserve">    3.28671912062579,        !- Vertex 4 Y-coordinate {m}</v>
      </c>
    </row>
    <row r="487" spans="1:4" x14ac:dyDescent="0.3">
      <c r="A487" t="s">
        <v>63</v>
      </c>
      <c r="D487" t="str">
        <f t="shared" si="7"/>
        <v xml:space="preserve">    2.7;                     !- Vertex 4 Z-coordinate {m}</v>
      </c>
    </row>
    <row r="488" spans="1:4" x14ac:dyDescent="0.3">
      <c r="D488" t="str">
        <f t="shared" si="7"/>
        <v/>
      </c>
    </row>
    <row r="489" spans="1:4" x14ac:dyDescent="0.3">
      <c r="A489" t="s">
        <v>42</v>
      </c>
      <c r="D489" t="str">
        <f t="shared" si="7"/>
        <v>BuildingSurface:Detailed,</v>
      </c>
    </row>
    <row r="490" spans="1:4" x14ac:dyDescent="0.3">
      <c r="A490" t="s">
        <v>162</v>
      </c>
      <c r="D490" t="str">
        <f t="shared" si="7"/>
        <v xml:space="preserve">    ParedeQuarto2Norte,      !- Name</v>
      </c>
    </row>
    <row r="491" spans="1:4" x14ac:dyDescent="0.3">
      <c r="A491" t="s">
        <v>44</v>
      </c>
      <c r="D491" t="str">
        <f t="shared" si="7"/>
        <v xml:space="preserve">    Wall,                    !- Surface Type</v>
      </c>
    </row>
    <row r="492" spans="1:4" x14ac:dyDescent="0.3">
      <c r="A492" t="str">
        <f>A1048574</f>
        <v>Parede  Tijolo cerâmico 9x14x24 c/ argamassa int e ext</v>
      </c>
      <c r="B492" t="s">
        <v>428</v>
      </c>
      <c r="D492" t="str">
        <f t="shared" si="7"/>
        <v>Parede  Tijolo cerâmico 9x14x24 c/ argamassa int e ext             ,  !- Construction Name</v>
      </c>
    </row>
    <row r="493" spans="1:4" x14ac:dyDescent="0.3">
      <c r="A493" t="s">
        <v>150</v>
      </c>
      <c r="D493" t="str">
        <f t="shared" si="7"/>
        <v xml:space="preserve">    Quarto2,                 !- Zone Name</v>
      </c>
    </row>
    <row r="494" spans="1:4" x14ac:dyDescent="0.3">
      <c r="A494" t="s">
        <v>71</v>
      </c>
      <c r="D494" t="str">
        <f t="shared" si="7"/>
        <v xml:space="preserve">    Outdoors,                !- Outside Boundary Condition</v>
      </c>
    </row>
    <row r="495" spans="1:4" x14ac:dyDescent="0.3">
      <c r="A495" t="s">
        <v>72</v>
      </c>
      <c r="D495" t="str">
        <f t="shared" si="7"/>
        <v xml:space="preserve">    ,                        !- Outside Boundary Condition Object</v>
      </c>
    </row>
    <row r="496" spans="1:4" x14ac:dyDescent="0.3">
      <c r="A496" t="s">
        <v>73</v>
      </c>
      <c r="D496" t="str">
        <f t="shared" si="7"/>
        <v xml:space="preserve">    SunExposed,              !- Sun Exposure</v>
      </c>
    </row>
    <row r="497" spans="1:4" x14ac:dyDescent="0.3">
      <c r="A497" t="s">
        <v>74</v>
      </c>
      <c r="D497" t="str">
        <f t="shared" si="7"/>
        <v xml:space="preserve">    WindExposed,             !- Wind Exposure</v>
      </c>
    </row>
    <row r="498" spans="1:4" x14ac:dyDescent="0.3">
      <c r="A498" t="s">
        <v>50</v>
      </c>
      <c r="D498" t="str">
        <f t="shared" si="7"/>
        <v xml:space="preserve">    ,                        !- View Factor to Ground</v>
      </c>
    </row>
    <row r="499" spans="1:4" x14ac:dyDescent="0.3">
      <c r="A499" t="s">
        <v>51</v>
      </c>
      <c r="D499" t="str">
        <f t="shared" si="7"/>
        <v xml:space="preserve">    ,                        !- Number of Vertices</v>
      </c>
    </row>
    <row r="500" spans="1:4" x14ac:dyDescent="0.3">
      <c r="A500" t="s">
        <v>125</v>
      </c>
      <c r="D500" t="str">
        <f t="shared" si="7"/>
        <v xml:space="preserve">    2.71999999999999,        !- Vertex 1 X-coordinate {m}</v>
      </c>
    </row>
    <row r="501" spans="1:4" x14ac:dyDescent="0.3">
      <c r="A501" t="s">
        <v>163</v>
      </c>
      <c r="D501" t="str">
        <f t="shared" si="7"/>
        <v xml:space="preserve">    3.28671912062579,        !- Vertex 1 Y-coordinate {m}</v>
      </c>
    </row>
    <row r="502" spans="1:4" x14ac:dyDescent="0.3">
      <c r="A502" t="s">
        <v>54</v>
      </c>
      <c r="D502" t="str">
        <f t="shared" si="7"/>
        <v xml:space="preserve">    2.7,                     !- Vertex 1 Z-coordinate {m}</v>
      </c>
    </row>
    <row r="503" spans="1:4" x14ac:dyDescent="0.3">
      <c r="A503" t="s">
        <v>127</v>
      </c>
      <c r="D503" t="str">
        <f t="shared" si="7"/>
        <v xml:space="preserve">    2.71999999999999,        !- Vertex 2 X-coordinate {m}</v>
      </c>
    </row>
    <row r="504" spans="1:4" x14ac:dyDescent="0.3">
      <c r="A504" t="s">
        <v>164</v>
      </c>
      <c r="D504" t="str">
        <f t="shared" si="7"/>
        <v xml:space="preserve">    3.28671912062579,        !- Vertex 2 Y-coordinate {m}</v>
      </c>
    </row>
    <row r="505" spans="1:4" x14ac:dyDescent="0.3">
      <c r="A505" t="s">
        <v>57</v>
      </c>
      <c r="D505" t="str">
        <f t="shared" si="7"/>
        <v xml:space="preserve">    0,                       !- Vertex 2 Z-coordinate {m}</v>
      </c>
    </row>
    <row r="506" spans="1:4" x14ac:dyDescent="0.3">
      <c r="A506" t="s">
        <v>165</v>
      </c>
      <c r="D506" t="str">
        <f t="shared" si="7"/>
        <v xml:space="preserve">    -7.21911419532262e-016,  !- Vertex 3 X-coordinate {m}</v>
      </c>
    </row>
    <row r="507" spans="1:4" x14ac:dyDescent="0.3">
      <c r="A507" t="s">
        <v>160</v>
      </c>
      <c r="D507" t="str">
        <f t="shared" si="7"/>
        <v xml:space="preserve">    3.28671912062579,        !- Vertex 3 Y-coordinate {m}</v>
      </c>
    </row>
    <row r="508" spans="1:4" x14ac:dyDescent="0.3">
      <c r="A508" t="s">
        <v>166</v>
      </c>
      <c r="D508" t="str">
        <f t="shared" si="7"/>
        <v xml:space="preserve">    2.17148374021286e-031,   !- Vertex 3 Z-coordinate {m}</v>
      </c>
    </row>
    <row r="509" spans="1:4" x14ac:dyDescent="0.3">
      <c r="A509" t="s">
        <v>167</v>
      </c>
      <c r="D509" t="str">
        <f t="shared" si="7"/>
        <v xml:space="preserve">    7.21911419532262e-016,   !- Vertex 4 X-coordinate {m}</v>
      </c>
    </row>
    <row r="510" spans="1:4" x14ac:dyDescent="0.3">
      <c r="A510" t="s">
        <v>161</v>
      </c>
      <c r="D510" t="str">
        <f t="shared" si="7"/>
        <v xml:space="preserve">    3.28671912062579,        !- Vertex 4 Y-coordinate {m}</v>
      </c>
    </row>
    <row r="511" spans="1:4" x14ac:dyDescent="0.3">
      <c r="A511" t="s">
        <v>63</v>
      </c>
      <c r="D511" t="str">
        <f t="shared" si="7"/>
        <v xml:space="preserve">    2.7;                     !- Vertex 4 Z-coordinate {m}</v>
      </c>
    </row>
    <row r="512" spans="1:4" x14ac:dyDescent="0.3">
      <c r="D512" t="str">
        <f t="shared" si="7"/>
        <v/>
      </c>
    </row>
    <row r="513" spans="1:4" x14ac:dyDescent="0.3">
      <c r="A513" t="s">
        <v>42</v>
      </c>
      <c r="D513" t="str">
        <f t="shared" si="7"/>
        <v>BuildingSurface:Detailed,</v>
      </c>
    </row>
    <row r="514" spans="1:4" x14ac:dyDescent="0.3">
      <c r="A514" t="s">
        <v>168</v>
      </c>
      <c r="D514" t="str">
        <f t="shared" ref="D514:D577" si="8">CONCATENATE(A514,B514)</f>
        <v xml:space="preserve">    ParedeQuarto2Oeste,      !- Name</v>
      </c>
    </row>
    <row r="515" spans="1:4" x14ac:dyDescent="0.3">
      <c r="A515" t="s">
        <v>44</v>
      </c>
      <c r="D515" t="str">
        <f t="shared" si="8"/>
        <v xml:space="preserve">    Wall,                    !- Surface Type</v>
      </c>
    </row>
    <row r="516" spans="1:4" x14ac:dyDescent="0.3">
      <c r="A516" t="str">
        <f>A1048574</f>
        <v>Parede  Tijolo cerâmico 9x14x24 c/ argamassa int e ext</v>
      </c>
      <c r="B516" t="s">
        <v>428</v>
      </c>
      <c r="D516" t="str">
        <f t="shared" si="8"/>
        <v>Parede  Tijolo cerâmico 9x14x24 c/ argamassa int e ext             ,  !- Construction Name</v>
      </c>
    </row>
    <row r="517" spans="1:4" x14ac:dyDescent="0.3">
      <c r="A517" t="s">
        <v>150</v>
      </c>
      <c r="D517" t="str">
        <f t="shared" si="8"/>
        <v xml:space="preserve">    Quarto2,                 !- Zone Name</v>
      </c>
    </row>
    <row r="518" spans="1:4" x14ac:dyDescent="0.3">
      <c r="A518" t="s">
        <v>71</v>
      </c>
      <c r="D518" t="str">
        <f t="shared" si="8"/>
        <v xml:space="preserve">    Outdoors,                !- Outside Boundary Condition</v>
      </c>
    </row>
    <row r="519" spans="1:4" x14ac:dyDescent="0.3">
      <c r="A519" t="s">
        <v>72</v>
      </c>
      <c r="D519" t="str">
        <f t="shared" si="8"/>
        <v xml:space="preserve">    ,                        !- Outside Boundary Condition Object</v>
      </c>
    </row>
    <row r="520" spans="1:4" x14ac:dyDescent="0.3">
      <c r="A520" t="s">
        <v>73</v>
      </c>
      <c r="D520" t="str">
        <f t="shared" si="8"/>
        <v xml:space="preserve">    SunExposed,              !- Sun Exposure</v>
      </c>
    </row>
    <row r="521" spans="1:4" x14ac:dyDescent="0.3">
      <c r="A521" t="s">
        <v>74</v>
      </c>
      <c r="D521" t="str">
        <f t="shared" si="8"/>
        <v xml:space="preserve">    WindExposed,             !- Wind Exposure</v>
      </c>
    </row>
    <row r="522" spans="1:4" x14ac:dyDescent="0.3">
      <c r="A522" t="s">
        <v>50</v>
      </c>
      <c r="D522" t="str">
        <f t="shared" si="8"/>
        <v xml:space="preserve">    ,                        !- View Factor to Ground</v>
      </c>
    </row>
    <row r="523" spans="1:4" x14ac:dyDescent="0.3">
      <c r="A523" t="s">
        <v>51</v>
      </c>
      <c r="D523" t="str">
        <f t="shared" si="8"/>
        <v xml:space="preserve">    ,                        !- Number of Vertices</v>
      </c>
    </row>
    <row r="524" spans="1:4" x14ac:dyDescent="0.3">
      <c r="A524" t="s">
        <v>169</v>
      </c>
      <c r="D524" t="str">
        <f t="shared" si="8"/>
        <v xml:space="preserve">    7.21911419532262e-016,   !- Vertex 1 X-coordinate {m}</v>
      </c>
    </row>
    <row r="525" spans="1:4" x14ac:dyDescent="0.3">
      <c r="A525" t="s">
        <v>163</v>
      </c>
      <c r="D525" t="str">
        <f t="shared" si="8"/>
        <v xml:space="preserve">    3.28671912062579,        !- Vertex 1 Y-coordinate {m}</v>
      </c>
    </row>
    <row r="526" spans="1:4" x14ac:dyDescent="0.3">
      <c r="A526" t="s">
        <v>54</v>
      </c>
      <c r="D526" t="str">
        <f t="shared" si="8"/>
        <v xml:space="preserve">    2.7,                     !- Vertex 1 Z-coordinate {m}</v>
      </c>
    </row>
    <row r="527" spans="1:4" x14ac:dyDescent="0.3">
      <c r="A527" t="s">
        <v>170</v>
      </c>
      <c r="D527" t="str">
        <f t="shared" si="8"/>
        <v xml:space="preserve">    -7.21911419532262e-016,  !- Vertex 2 X-coordinate {m}</v>
      </c>
    </row>
    <row r="528" spans="1:4" x14ac:dyDescent="0.3">
      <c r="A528" t="s">
        <v>164</v>
      </c>
      <c r="D528" t="str">
        <f t="shared" si="8"/>
        <v xml:space="preserve">    3.28671912062579,        !- Vertex 2 Y-coordinate {m}</v>
      </c>
    </row>
    <row r="529" spans="1:4" x14ac:dyDescent="0.3">
      <c r="A529" t="s">
        <v>171</v>
      </c>
      <c r="D529" t="str">
        <f t="shared" si="8"/>
        <v xml:space="preserve">    2.17148374021286e-031,   !- Vertex 2 Z-coordinate {m}</v>
      </c>
    </row>
    <row r="530" spans="1:4" x14ac:dyDescent="0.3">
      <c r="A530" t="s">
        <v>172</v>
      </c>
      <c r="D530" t="str">
        <f t="shared" si="8"/>
        <v xml:space="preserve">    -2.88764567812905e-015,  !- Vertex 3 X-coordinate {m}</v>
      </c>
    </row>
    <row r="531" spans="1:4" x14ac:dyDescent="0.3">
      <c r="A531" t="s">
        <v>173</v>
      </c>
      <c r="D531" t="str">
        <f t="shared" si="8"/>
        <v xml:space="preserve">    2.77671912062579,        !- Vertex 3 Y-coordinate {m}</v>
      </c>
    </row>
    <row r="532" spans="1:4" x14ac:dyDescent="0.3">
      <c r="A532" t="s">
        <v>174</v>
      </c>
      <c r="D532" t="str">
        <f t="shared" si="8"/>
        <v xml:space="preserve">    -2.17148374021287e-031,  !- Vertex 3 Z-coordinate {m}</v>
      </c>
    </row>
    <row r="533" spans="1:4" x14ac:dyDescent="0.3">
      <c r="A533" t="s">
        <v>175</v>
      </c>
      <c r="D533" t="str">
        <f t="shared" si="8"/>
        <v xml:space="preserve">    -2.16573425859679e-015,  !- Vertex 4 X-coordinate {m}</v>
      </c>
    </row>
    <row r="534" spans="1:4" x14ac:dyDescent="0.3">
      <c r="A534" t="s">
        <v>176</v>
      </c>
      <c r="D534" t="str">
        <f t="shared" si="8"/>
        <v xml:space="preserve">    2.77671912062579,        !- Vertex 4 Y-coordinate {m}</v>
      </c>
    </row>
    <row r="535" spans="1:4" x14ac:dyDescent="0.3">
      <c r="A535" t="s">
        <v>63</v>
      </c>
      <c r="D535" t="str">
        <f t="shared" si="8"/>
        <v xml:space="preserve">    2.7;                     !- Vertex 4 Z-coordinate {m}</v>
      </c>
    </row>
    <row r="536" spans="1:4" x14ac:dyDescent="0.3">
      <c r="D536" t="str">
        <f t="shared" si="8"/>
        <v/>
      </c>
    </row>
    <row r="537" spans="1:4" x14ac:dyDescent="0.3">
      <c r="A537" t="s">
        <v>42</v>
      </c>
      <c r="D537" t="str">
        <f t="shared" si="8"/>
        <v>BuildingSurface:Detailed,</v>
      </c>
    </row>
    <row r="538" spans="1:4" x14ac:dyDescent="0.3">
      <c r="A538" t="s">
        <v>177</v>
      </c>
      <c r="D538" t="str">
        <f t="shared" si="8"/>
        <v xml:space="preserve">    Surface 21,              !- Name</v>
      </c>
    </row>
    <row r="539" spans="1:4" x14ac:dyDescent="0.3">
      <c r="A539" t="s">
        <v>104</v>
      </c>
      <c r="D539" t="str">
        <f t="shared" si="8"/>
        <v xml:space="preserve">    Floor,                   !- Surface Type</v>
      </c>
    </row>
    <row r="540" spans="1:4" x14ac:dyDescent="0.3">
      <c r="A540" t="s">
        <v>105</v>
      </c>
      <c r="D540" t="str">
        <f t="shared" si="8"/>
        <v xml:space="preserve">    Laje protendida alveolar,!- Construction Name</v>
      </c>
    </row>
    <row r="541" spans="1:4" x14ac:dyDescent="0.3">
      <c r="A541" t="s">
        <v>150</v>
      </c>
      <c r="D541" t="str">
        <f t="shared" si="8"/>
        <v xml:space="preserve">    Quarto2,                 !- Zone Name</v>
      </c>
    </row>
    <row r="542" spans="1:4" x14ac:dyDescent="0.3">
      <c r="A542" t="s">
        <v>106</v>
      </c>
      <c r="D542" t="str">
        <f t="shared" si="8"/>
        <v xml:space="preserve">    Ground,                  !- Outside Boundary Condition</v>
      </c>
    </row>
    <row r="543" spans="1:4" x14ac:dyDescent="0.3">
      <c r="A543" t="s">
        <v>72</v>
      </c>
      <c r="D543" t="str">
        <f t="shared" si="8"/>
        <v xml:space="preserve">    ,                        !- Outside Boundary Condition Object</v>
      </c>
    </row>
    <row r="544" spans="1:4" x14ac:dyDescent="0.3">
      <c r="A544" t="s">
        <v>48</v>
      </c>
      <c r="D544" t="str">
        <f t="shared" si="8"/>
        <v xml:space="preserve">    NoSun,                   !- Sun Exposure</v>
      </c>
    </row>
    <row r="545" spans="1:4" x14ac:dyDescent="0.3">
      <c r="A545" t="s">
        <v>49</v>
      </c>
      <c r="D545" t="str">
        <f t="shared" si="8"/>
        <v xml:space="preserve">    NoWind,                  !- Wind Exposure</v>
      </c>
    </row>
    <row r="546" spans="1:4" x14ac:dyDescent="0.3">
      <c r="A546" t="s">
        <v>50</v>
      </c>
      <c r="D546" t="str">
        <f t="shared" si="8"/>
        <v xml:space="preserve">    ,                        !- View Factor to Ground</v>
      </c>
    </row>
    <row r="547" spans="1:4" x14ac:dyDescent="0.3">
      <c r="A547" t="s">
        <v>51</v>
      </c>
      <c r="D547" t="str">
        <f t="shared" si="8"/>
        <v xml:space="preserve">    ,                        !- Number of Vertices</v>
      </c>
    </row>
    <row r="548" spans="1:4" x14ac:dyDescent="0.3">
      <c r="A548" t="s">
        <v>125</v>
      </c>
      <c r="D548" t="str">
        <f t="shared" si="8"/>
        <v xml:space="preserve">    2.71999999999999,        !- Vertex 1 X-coordinate {m}</v>
      </c>
    </row>
    <row r="549" spans="1:4" x14ac:dyDescent="0.3">
      <c r="A549" t="s">
        <v>163</v>
      </c>
      <c r="D549" t="str">
        <f t="shared" si="8"/>
        <v xml:space="preserve">    3.28671912062579,        !- Vertex 1 Y-coordinate {m}</v>
      </c>
    </row>
    <row r="550" spans="1:4" x14ac:dyDescent="0.3">
      <c r="A550" t="s">
        <v>107</v>
      </c>
      <c r="D550" t="str">
        <f t="shared" si="8"/>
        <v xml:space="preserve">    0,                       !- Vertex 1 Z-coordinate {m}</v>
      </c>
    </row>
    <row r="551" spans="1:4" x14ac:dyDescent="0.3">
      <c r="A551" t="s">
        <v>127</v>
      </c>
      <c r="D551" t="str">
        <f t="shared" si="8"/>
        <v xml:space="preserve">    2.71999999999999,        !- Vertex 2 X-coordinate {m}</v>
      </c>
    </row>
    <row r="552" spans="1:4" x14ac:dyDescent="0.3">
      <c r="A552" t="s">
        <v>76</v>
      </c>
      <c r="D552" t="str">
        <f t="shared" si="8"/>
        <v xml:space="preserve">    0,                       !- Vertex 2 Y-coordinate {m}</v>
      </c>
    </row>
    <row r="553" spans="1:4" x14ac:dyDescent="0.3">
      <c r="A553" t="s">
        <v>57</v>
      </c>
      <c r="D553" t="str">
        <f t="shared" si="8"/>
        <v xml:space="preserve">    0,                       !- Vertex 2 Z-coordinate {m}</v>
      </c>
    </row>
    <row r="554" spans="1:4" x14ac:dyDescent="0.3">
      <c r="A554" t="s">
        <v>89</v>
      </c>
      <c r="D554" t="str">
        <f t="shared" si="8"/>
        <v xml:space="preserve">    0,                       !- Vertex 3 X-coordinate {m}</v>
      </c>
    </row>
    <row r="555" spans="1:4" x14ac:dyDescent="0.3">
      <c r="A555" t="s">
        <v>90</v>
      </c>
      <c r="D555" t="str">
        <f t="shared" si="8"/>
        <v xml:space="preserve">    0,                       !- Vertex 3 Y-coordinate {m}</v>
      </c>
    </row>
    <row r="556" spans="1:4" x14ac:dyDescent="0.3">
      <c r="A556" t="s">
        <v>60</v>
      </c>
      <c r="D556" t="str">
        <f t="shared" si="8"/>
        <v xml:space="preserve">    0,                       !- Vertex 3 Z-coordinate {m}</v>
      </c>
    </row>
    <row r="557" spans="1:4" x14ac:dyDescent="0.3">
      <c r="A557" t="s">
        <v>178</v>
      </c>
      <c r="D557" t="str">
        <f t="shared" si="8"/>
        <v xml:space="preserve">    -7.21911419532262e-016,  !- Vertex 4 X-coordinate {m}</v>
      </c>
    </row>
    <row r="558" spans="1:4" x14ac:dyDescent="0.3">
      <c r="A558" t="s">
        <v>161</v>
      </c>
      <c r="D558" t="str">
        <f t="shared" si="8"/>
        <v xml:space="preserve">    3.28671912062579,        !- Vertex 4 Y-coordinate {m}</v>
      </c>
    </row>
    <row r="559" spans="1:4" x14ac:dyDescent="0.3">
      <c r="A559" t="s">
        <v>179</v>
      </c>
      <c r="D559" t="str">
        <f t="shared" si="8"/>
        <v xml:space="preserve">    2.17148374021286e-031;   !- Vertex 4 Z-coordinate {m}</v>
      </c>
    </row>
    <row r="560" spans="1:4" x14ac:dyDescent="0.3">
      <c r="D560" t="str">
        <f t="shared" si="8"/>
        <v/>
      </c>
    </row>
    <row r="561" spans="1:4" x14ac:dyDescent="0.3">
      <c r="A561" t="s">
        <v>42</v>
      </c>
      <c r="D561" t="str">
        <f t="shared" si="8"/>
        <v>BuildingSurface:Detailed,</v>
      </c>
    </row>
    <row r="562" spans="1:4" x14ac:dyDescent="0.3">
      <c r="A562" t="s">
        <v>180</v>
      </c>
      <c r="D562" t="str">
        <f t="shared" si="8"/>
        <v xml:space="preserve">    Surface 26,              !- Name</v>
      </c>
    </row>
    <row r="563" spans="1:4" x14ac:dyDescent="0.3">
      <c r="A563" t="s">
        <v>116</v>
      </c>
      <c r="D563" t="str">
        <f t="shared" si="8"/>
        <v xml:space="preserve">    Ceiling,                 !- Surface Type</v>
      </c>
    </row>
    <row r="564" spans="1:4" x14ac:dyDescent="0.3">
      <c r="A564" t="str">
        <f>B1048574</f>
        <v>Forro PVC</v>
      </c>
      <c r="B564" t="s">
        <v>427</v>
      </c>
      <c r="D564" t="str">
        <f t="shared" si="8"/>
        <v>Forro PVC,               !- Construction Name</v>
      </c>
    </row>
    <row r="565" spans="1:4" x14ac:dyDescent="0.3">
      <c r="A565" t="s">
        <v>150</v>
      </c>
      <c r="D565" t="str">
        <f t="shared" si="8"/>
        <v xml:space="preserve">    Quarto2,                 !- Zone Name</v>
      </c>
    </row>
    <row r="566" spans="1:4" x14ac:dyDescent="0.3">
      <c r="A566" t="s">
        <v>46</v>
      </c>
      <c r="D566" t="str">
        <f t="shared" si="8"/>
        <v xml:space="preserve">    Surface,                 !- Outside Boundary Condition</v>
      </c>
    </row>
    <row r="567" spans="1:4" x14ac:dyDescent="0.3">
      <c r="A567" t="s">
        <v>181</v>
      </c>
      <c r="D567" t="str">
        <f t="shared" si="8"/>
        <v xml:space="preserve">    ForroQuarto2,            !- Outside Boundary Condition Object</v>
      </c>
    </row>
    <row r="568" spans="1:4" x14ac:dyDescent="0.3">
      <c r="A568" t="s">
        <v>48</v>
      </c>
      <c r="D568" t="str">
        <f t="shared" si="8"/>
        <v xml:space="preserve">    NoSun,                   !- Sun Exposure</v>
      </c>
    </row>
    <row r="569" spans="1:4" x14ac:dyDescent="0.3">
      <c r="A569" t="s">
        <v>49</v>
      </c>
      <c r="D569" t="str">
        <f t="shared" si="8"/>
        <v xml:space="preserve">    NoWind,                  !- Wind Exposure</v>
      </c>
    </row>
    <row r="570" spans="1:4" x14ac:dyDescent="0.3">
      <c r="A570" t="s">
        <v>50</v>
      </c>
      <c r="D570" t="str">
        <f t="shared" si="8"/>
        <v xml:space="preserve">    ,                        !- View Factor to Ground</v>
      </c>
    </row>
    <row r="571" spans="1:4" x14ac:dyDescent="0.3">
      <c r="A571" t="s">
        <v>51</v>
      </c>
      <c r="D571" t="str">
        <f t="shared" si="8"/>
        <v xml:space="preserve">    ,                        !- Number of Vertices</v>
      </c>
    </row>
    <row r="572" spans="1:4" x14ac:dyDescent="0.3">
      <c r="A572" t="s">
        <v>125</v>
      </c>
      <c r="D572" t="str">
        <f t="shared" si="8"/>
        <v xml:space="preserve">    2.71999999999999,        !- Vertex 1 X-coordinate {m}</v>
      </c>
    </row>
    <row r="573" spans="1:4" x14ac:dyDescent="0.3">
      <c r="A573" t="s">
        <v>75</v>
      </c>
      <c r="D573" t="str">
        <f t="shared" si="8"/>
        <v xml:space="preserve">    0,                       !- Vertex 1 Y-coordinate {m}</v>
      </c>
    </row>
    <row r="574" spans="1:4" x14ac:dyDescent="0.3">
      <c r="A574" t="s">
        <v>54</v>
      </c>
      <c r="D574" t="str">
        <f t="shared" si="8"/>
        <v xml:space="preserve">    2.7,                     !- Vertex 1 Z-coordinate {m}</v>
      </c>
    </row>
    <row r="575" spans="1:4" x14ac:dyDescent="0.3">
      <c r="A575" t="s">
        <v>127</v>
      </c>
      <c r="D575" t="str">
        <f t="shared" si="8"/>
        <v xml:space="preserve">    2.71999999999999,        !- Vertex 2 X-coordinate {m}</v>
      </c>
    </row>
    <row r="576" spans="1:4" x14ac:dyDescent="0.3">
      <c r="A576" t="s">
        <v>164</v>
      </c>
      <c r="D576" t="str">
        <f t="shared" si="8"/>
        <v xml:space="preserve">    3.28671912062579,        !- Vertex 2 Y-coordinate {m}</v>
      </c>
    </row>
    <row r="577" spans="1:4" x14ac:dyDescent="0.3">
      <c r="A577" t="s">
        <v>118</v>
      </c>
      <c r="D577" t="str">
        <f t="shared" si="8"/>
        <v xml:space="preserve">    2.7,                     !- Vertex 2 Z-coordinate {m}</v>
      </c>
    </row>
    <row r="578" spans="1:4" x14ac:dyDescent="0.3">
      <c r="A578" t="s">
        <v>182</v>
      </c>
      <c r="D578" t="str">
        <f t="shared" ref="D578:D641" si="9">CONCATENATE(A578,B578)</f>
        <v xml:space="preserve">    7.21911419532262e-016,   !- Vertex 3 X-coordinate {m}</v>
      </c>
    </row>
    <row r="579" spans="1:4" x14ac:dyDescent="0.3">
      <c r="A579" t="s">
        <v>160</v>
      </c>
      <c r="D579" t="str">
        <f t="shared" si="9"/>
        <v xml:space="preserve">    3.28671912062579,        !- Vertex 3 Y-coordinate {m}</v>
      </c>
    </row>
    <row r="580" spans="1:4" x14ac:dyDescent="0.3">
      <c r="A580" t="s">
        <v>120</v>
      </c>
      <c r="D580" t="str">
        <f t="shared" si="9"/>
        <v xml:space="preserve">    2.7,                     !- Vertex 3 Z-coordinate {m}</v>
      </c>
    </row>
    <row r="581" spans="1:4" x14ac:dyDescent="0.3">
      <c r="A581" t="s">
        <v>91</v>
      </c>
      <c r="D581" t="str">
        <f t="shared" si="9"/>
        <v xml:space="preserve">    0,                       !- Vertex 4 X-coordinate {m}</v>
      </c>
    </row>
    <row r="582" spans="1:4" x14ac:dyDescent="0.3">
      <c r="A582" t="s">
        <v>92</v>
      </c>
      <c r="D582" t="str">
        <f t="shared" si="9"/>
        <v xml:space="preserve">    0,                       !- Vertex 4 Y-coordinate {m}</v>
      </c>
    </row>
    <row r="583" spans="1:4" x14ac:dyDescent="0.3">
      <c r="A583" t="s">
        <v>63</v>
      </c>
      <c r="D583" t="str">
        <f t="shared" si="9"/>
        <v xml:space="preserve">    2.7;                     !- Vertex 4 Z-coordinate {m}</v>
      </c>
    </row>
    <row r="584" spans="1:4" x14ac:dyDescent="0.3">
      <c r="D584" t="str">
        <f t="shared" si="9"/>
        <v/>
      </c>
    </row>
    <row r="585" spans="1:4" x14ac:dyDescent="0.3">
      <c r="A585" t="s">
        <v>42</v>
      </c>
      <c r="D585" t="str">
        <f t="shared" si="9"/>
        <v>BuildingSurface:Detailed,</v>
      </c>
    </row>
    <row r="586" spans="1:4" x14ac:dyDescent="0.3">
      <c r="A586" t="s">
        <v>183</v>
      </c>
      <c r="D586" t="str">
        <f t="shared" si="9"/>
        <v xml:space="preserve">    ParedeBanheiroNorte,     !- Name</v>
      </c>
    </row>
    <row r="587" spans="1:4" x14ac:dyDescent="0.3">
      <c r="A587" t="s">
        <v>44</v>
      </c>
      <c r="D587" t="str">
        <f t="shared" si="9"/>
        <v xml:space="preserve">    Wall,                    !- Surface Type</v>
      </c>
    </row>
    <row r="588" spans="1:4" x14ac:dyDescent="0.3">
      <c r="A588" t="str">
        <f>A1048574</f>
        <v>Parede  Tijolo cerâmico 9x14x24 c/ argamassa int e ext</v>
      </c>
      <c r="B588" t="s">
        <v>428</v>
      </c>
      <c r="D588" t="str">
        <f t="shared" si="9"/>
        <v>Parede  Tijolo cerâmico 9x14x24 c/ argamassa int e ext             ,  !- Construction Name</v>
      </c>
    </row>
    <row r="589" spans="1:4" x14ac:dyDescent="0.3">
      <c r="A589" t="s">
        <v>184</v>
      </c>
      <c r="D589" t="str">
        <f t="shared" si="9"/>
        <v xml:space="preserve">    Banheiro,                !- Zone Name</v>
      </c>
    </row>
    <row r="590" spans="1:4" x14ac:dyDescent="0.3">
      <c r="A590" t="s">
        <v>71</v>
      </c>
      <c r="D590" t="str">
        <f t="shared" si="9"/>
        <v xml:space="preserve">    Outdoors,                !- Outside Boundary Condition</v>
      </c>
    </row>
    <row r="591" spans="1:4" x14ac:dyDescent="0.3">
      <c r="A591" t="s">
        <v>72</v>
      </c>
      <c r="D591" t="str">
        <f t="shared" si="9"/>
        <v xml:space="preserve">    ,                        !- Outside Boundary Condition Object</v>
      </c>
    </row>
    <row r="592" spans="1:4" x14ac:dyDescent="0.3">
      <c r="A592" t="s">
        <v>73</v>
      </c>
      <c r="D592" t="str">
        <f t="shared" si="9"/>
        <v xml:space="preserve">    SunExposed,              !- Sun Exposure</v>
      </c>
    </row>
    <row r="593" spans="1:4" x14ac:dyDescent="0.3">
      <c r="A593" t="s">
        <v>74</v>
      </c>
      <c r="D593" t="str">
        <f t="shared" si="9"/>
        <v xml:space="preserve">    WindExposed,             !- Wind Exposure</v>
      </c>
    </row>
    <row r="594" spans="1:4" x14ac:dyDescent="0.3">
      <c r="A594" t="s">
        <v>50</v>
      </c>
      <c r="D594" t="str">
        <f t="shared" si="9"/>
        <v xml:space="preserve">    ,                        !- View Factor to Ground</v>
      </c>
    </row>
    <row r="595" spans="1:4" x14ac:dyDescent="0.3">
      <c r="A595" t="s">
        <v>51</v>
      </c>
      <c r="D595" t="str">
        <f t="shared" si="9"/>
        <v xml:space="preserve">    ,                        !- Number of Vertices</v>
      </c>
    </row>
    <row r="596" spans="1:4" x14ac:dyDescent="0.3">
      <c r="A596" t="s">
        <v>96</v>
      </c>
      <c r="D596" t="str">
        <f t="shared" si="9"/>
        <v xml:space="preserve">    2.66,                    !- Vertex 1 X-coordinate {m}</v>
      </c>
    </row>
    <row r="597" spans="1:4" x14ac:dyDescent="0.3">
      <c r="A597" t="s">
        <v>185</v>
      </c>
      <c r="D597" t="str">
        <f t="shared" si="9"/>
        <v xml:space="preserve">    1.81999999999999,        !- Vertex 1 Y-coordinate {m}</v>
      </c>
    </row>
    <row r="598" spans="1:4" x14ac:dyDescent="0.3">
      <c r="A598" t="s">
        <v>54</v>
      </c>
      <c r="D598" t="str">
        <f t="shared" si="9"/>
        <v xml:space="preserve">    2.7,                     !- Vertex 1 Z-coordinate {m}</v>
      </c>
    </row>
    <row r="599" spans="1:4" x14ac:dyDescent="0.3">
      <c r="A599" t="s">
        <v>97</v>
      </c>
      <c r="D599" t="str">
        <f t="shared" si="9"/>
        <v xml:space="preserve">    2.66,                    !- Vertex 2 X-coordinate {m}</v>
      </c>
    </row>
    <row r="600" spans="1:4" x14ac:dyDescent="0.3">
      <c r="A600" t="s">
        <v>186</v>
      </c>
      <c r="D600" t="str">
        <f t="shared" si="9"/>
        <v xml:space="preserve">    1.81999999999999,        !- Vertex 2 Y-coordinate {m}</v>
      </c>
    </row>
    <row r="601" spans="1:4" x14ac:dyDescent="0.3">
      <c r="A601" t="s">
        <v>57</v>
      </c>
      <c r="D601" t="str">
        <f t="shared" si="9"/>
        <v xml:space="preserve">    0,                       !- Vertex 2 Z-coordinate {m}</v>
      </c>
    </row>
    <row r="602" spans="1:4" x14ac:dyDescent="0.3">
      <c r="A602" t="s">
        <v>89</v>
      </c>
      <c r="D602" t="str">
        <f t="shared" si="9"/>
        <v xml:space="preserve">    0,                       !- Vertex 3 X-coordinate {m}</v>
      </c>
    </row>
    <row r="603" spans="1:4" x14ac:dyDescent="0.3">
      <c r="A603" t="s">
        <v>187</v>
      </c>
      <c r="D603" t="str">
        <f t="shared" si="9"/>
        <v xml:space="preserve">    1.81999999999999,        !- Vertex 3 Y-coordinate {m}</v>
      </c>
    </row>
    <row r="604" spans="1:4" x14ac:dyDescent="0.3">
      <c r="A604" t="s">
        <v>60</v>
      </c>
      <c r="D604" t="str">
        <f t="shared" si="9"/>
        <v xml:space="preserve">    0,                       !- Vertex 3 Z-coordinate {m}</v>
      </c>
    </row>
    <row r="605" spans="1:4" x14ac:dyDescent="0.3">
      <c r="A605" t="s">
        <v>91</v>
      </c>
      <c r="D605" t="str">
        <f t="shared" si="9"/>
        <v xml:space="preserve">    0,                       !- Vertex 4 X-coordinate {m}</v>
      </c>
    </row>
    <row r="606" spans="1:4" x14ac:dyDescent="0.3">
      <c r="A606" t="s">
        <v>188</v>
      </c>
      <c r="D606" t="str">
        <f t="shared" si="9"/>
        <v xml:space="preserve">    1.81999999999999,        !- Vertex 4 Y-coordinate {m}</v>
      </c>
    </row>
    <row r="607" spans="1:4" x14ac:dyDescent="0.3">
      <c r="A607" t="s">
        <v>63</v>
      </c>
      <c r="D607" t="str">
        <f t="shared" si="9"/>
        <v xml:space="preserve">    2.7;                     !- Vertex 4 Z-coordinate {m}</v>
      </c>
    </row>
    <row r="608" spans="1:4" x14ac:dyDescent="0.3">
      <c r="D608" t="str">
        <f t="shared" si="9"/>
        <v/>
      </c>
    </row>
    <row r="609" spans="1:4" x14ac:dyDescent="0.3">
      <c r="A609" t="s">
        <v>42</v>
      </c>
      <c r="D609" t="str">
        <f t="shared" si="9"/>
        <v>BuildingSurface:Detailed,</v>
      </c>
    </row>
    <row r="610" spans="1:4" x14ac:dyDescent="0.3">
      <c r="A610" t="s">
        <v>189</v>
      </c>
      <c r="D610" t="str">
        <f t="shared" si="9"/>
        <v xml:space="preserve">    ParedeBanheiroOeste,     !- Name</v>
      </c>
    </row>
    <row r="611" spans="1:4" x14ac:dyDescent="0.3">
      <c r="A611" t="s">
        <v>44</v>
      </c>
      <c r="D611" t="str">
        <f t="shared" si="9"/>
        <v xml:space="preserve">    Wall,                    !- Surface Type</v>
      </c>
    </row>
    <row r="612" spans="1:4" x14ac:dyDescent="0.3">
      <c r="A612" t="str">
        <f>A1048574</f>
        <v>Parede  Tijolo cerâmico 9x14x24 c/ argamassa int e ext</v>
      </c>
      <c r="B612" t="s">
        <v>428</v>
      </c>
      <c r="D612" t="str">
        <f t="shared" si="9"/>
        <v>Parede  Tijolo cerâmico 9x14x24 c/ argamassa int e ext             ,  !- Construction Name</v>
      </c>
    </row>
    <row r="613" spans="1:4" x14ac:dyDescent="0.3">
      <c r="A613" t="s">
        <v>184</v>
      </c>
      <c r="D613" t="str">
        <f t="shared" si="9"/>
        <v xml:space="preserve">    Banheiro,                !- Zone Name</v>
      </c>
    </row>
    <row r="614" spans="1:4" x14ac:dyDescent="0.3">
      <c r="A614" t="s">
        <v>71</v>
      </c>
      <c r="D614" t="str">
        <f t="shared" si="9"/>
        <v xml:space="preserve">    Outdoors,                !- Outside Boundary Condition</v>
      </c>
    </row>
    <row r="615" spans="1:4" x14ac:dyDescent="0.3">
      <c r="A615" t="s">
        <v>72</v>
      </c>
      <c r="D615" t="str">
        <f t="shared" si="9"/>
        <v xml:space="preserve">    ,                        !- Outside Boundary Condition Object</v>
      </c>
    </row>
    <row r="616" spans="1:4" x14ac:dyDescent="0.3">
      <c r="A616" t="s">
        <v>73</v>
      </c>
      <c r="D616" t="str">
        <f t="shared" si="9"/>
        <v xml:space="preserve">    SunExposed,              !- Sun Exposure</v>
      </c>
    </row>
    <row r="617" spans="1:4" x14ac:dyDescent="0.3">
      <c r="A617" t="s">
        <v>74</v>
      </c>
      <c r="D617" t="str">
        <f t="shared" si="9"/>
        <v xml:space="preserve">    WindExposed,             !- Wind Exposure</v>
      </c>
    </row>
    <row r="618" spans="1:4" x14ac:dyDescent="0.3">
      <c r="A618" t="s">
        <v>50</v>
      </c>
      <c r="D618" t="str">
        <f t="shared" si="9"/>
        <v xml:space="preserve">    ,                        !- View Factor to Ground</v>
      </c>
    </row>
    <row r="619" spans="1:4" x14ac:dyDescent="0.3">
      <c r="A619" t="s">
        <v>51</v>
      </c>
      <c r="D619" t="str">
        <f t="shared" si="9"/>
        <v xml:space="preserve">    ,                        !- Number of Vertices</v>
      </c>
    </row>
    <row r="620" spans="1:4" x14ac:dyDescent="0.3">
      <c r="A620" t="s">
        <v>85</v>
      </c>
      <c r="D620" t="str">
        <f t="shared" si="9"/>
        <v xml:space="preserve">    0,                       !- Vertex 1 X-coordinate {m}</v>
      </c>
    </row>
    <row r="621" spans="1:4" x14ac:dyDescent="0.3">
      <c r="A621" t="s">
        <v>185</v>
      </c>
      <c r="D621" t="str">
        <f t="shared" si="9"/>
        <v xml:space="preserve">    1.81999999999999,        !- Vertex 1 Y-coordinate {m}</v>
      </c>
    </row>
    <row r="622" spans="1:4" x14ac:dyDescent="0.3">
      <c r="A622" t="s">
        <v>54</v>
      </c>
      <c r="D622" t="str">
        <f t="shared" si="9"/>
        <v xml:space="preserve">    2.7,                     !- Vertex 1 Z-coordinate {m}</v>
      </c>
    </row>
    <row r="623" spans="1:4" x14ac:dyDescent="0.3">
      <c r="A623" t="s">
        <v>87</v>
      </c>
      <c r="D623" t="str">
        <f t="shared" si="9"/>
        <v xml:space="preserve">    0,                       !- Vertex 2 X-coordinate {m}</v>
      </c>
    </row>
    <row r="624" spans="1:4" x14ac:dyDescent="0.3">
      <c r="A624" t="s">
        <v>186</v>
      </c>
      <c r="D624" t="str">
        <f t="shared" si="9"/>
        <v xml:space="preserve">    1.81999999999999,        !- Vertex 2 Y-coordinate {m}</v>
      </c>
    </row>
    <row r="625" spans="1:4" x14ac:dyDescent="0.3">
      <c r="A625" t="s">
        <v>57</v>
      </c>
      <c r="D625" t="str">
        <f t="shared" si="9"/>
        <v xml:space="preserve">    0,                       !- Vertex 2 Z-coordinate {m}</v>
      </c>
    </row>
    <row r="626" spans="1:4" x14ac:dyDescent="0.3">
      <c r="A626" t="s">
        <v>89</v>
      </c>
      <c r="D626" t="str">
        <f t="shared" si="9"/>
        <v xml:space="preserve">    0,                       !- Vertex 3 X-coordinate {m}</v>
      </c>
    </row>
    <row r="627" spans="1:4" x14ac:dyDescent="0.3">
      <c r="A627" t="s">
        <v>90</v>
      </c>
      <c r="D627" t="str">
        <f t="shared" si="9"/>
        <v xml:space="preserve">    0,                       !- Vertex 3 Y-coordinate {m}</v>
      </c>
    </row>
    <row r="628" spans="1:4" x14ac:dyDescent="0.3">
      <c r="A628" t="s">
        <v>60</v>
      </c>
      <c r="D628" t="str">
        <f t="shared" si="9"/>
        <v xml:space="preserve">    0,                       !- Vertex 3 Z-coordinate {m}</v>
      </c>
    </row>
    <row r="629" spans="1:4" x14ac:dyDescent="0.3">
      <c r="A629" t="s">
        <v>91</v>
      </c>
      <c r="D629" t="str">
        <f t="shared" si="9"/>
        <v xml:space="preserve">    0,                       !- Vertex 4 X-coordinate {m}</v>
      </c>
    </row>
    <row r="630" spans="1:4" x14ac:dyDescent="0.3">
      <c r="A630" t="s">
        <v>92</v>
      </c>
      <c r="D630" t="str">
        <f t="shared" si="9"/>
        <v xml:space="preserve">    0,                       !- Vertex 4 Y-coordinate {m}</v>
      </c>
    </row>
    <row r="631" spans="1:4" x14ac:dyDescent="0.3">
      <c r="A631" t="s">
        <v>63</v>
      </c>
      <c r="D631" t="str">
        <f t="shared" si="9"/>
        <v xml:space="preserve">    2.7;                     !- Vertex 4 Z-coordinate {m}</v>
      </c>
    </row>
    <row r="632" spans="1:4" x14ac:dyDescent="0.3">
      <c r="D632" t="str">
        <f t="shared" si="9"/>
        <v/>
      </c>
    </row>
    <row r="633" spans="1:4" x14ac:dyDescent="0.3">
      <c r="A633" t="s">
        <v>42</v>
      </c>
      <c r="D633" t="str">
        <f t="shared" si="9"/>
        <v>BuildingSurface:Detailed,</v>
      </c>
    </row>
    <row r="634" spans="1:4" x14ac:dyDescent="0.3">
      <c r="A634" t="s">
        <v>190</v>
      </c>
      <c r="D634" t="str">
        <f t="shared" si="9"/>
        <v xml:space="preserve">    ParedeIntBanheiroSala1,  !- Name</v>
      </c>
    </row>
    <row r="635" spans="1:4" x14ac:dyDescent="0.3">
      <c r="A635" t="s">
        <v>44</v>
      </c>
      <c r="D635" t="str">
        <f t="shared" si="9"/>
        <v xml:space="preserve">    Wall,                    !- Surface Type</v>
      </c>
    </row>
    <row r="636" spans="1:4" x14ac:dyDescent="0.3">
      <c r="A636" t="str">
        <f>A1048574</f>
        <v>Parede  Tijolo cerâmico 9x14x24 c/ argamassa int e ext</v>
      </c>
      <c r="B636" t="s">
        <v>428</v>
      </c>
      <c r="D636" t="str">
        <f t="shared" si="9"/>
        <v>Parede  Tijolo cerâmico 9x14x24 c/ argamassa int e ext             ,  !- Construction Name</v>
      </c>
    </row>
    <row r="637" spans="1:4" x14ac:dyDescent="0.3">
      <c r="A637" t="s">
        <v>184</v>
      </c>
      <c r="D637" t="str">
        <f t="shared" si="9"/>
        <v xml:space="preserve">    Banheiro,                !- Zone Name</v>
      </c>
    </row>
    <row r="638" spans="1:4" x14ac:dyDescent="0.3">
      <c r="A638" t="s">
        <v>46</v>
      </c>
      <c r="D638" t="str">
        <f t="shared" si="9"/>
        <v xml:space="preserve">    Surface,                 !- Outside Boundary Condition</v>
      </c>
    </row>
    <row r="639" spans="1:4" x14ac:dyDescent="0.3">
      <c r="A639" t="s">
        <v>191</v>
      </c>
      <c r="D639" t="str">
        <f t="shared" si="9"/>
        <v xml:space="preserve">    Surface 10,              !- Outside Boundary Condition Object</v>
      </c>
    </row>
    <row r="640" spans="1:4" x14ac:dyDescent="0.3">
      <c r="A640" t="s">
        <v>48</v>
      </c>
      <c r="D640" t="str">
        <f t="shared" si="9"/>
        <v xml:space="preserve">    NoSun,                   !- Sun Exposure</v>
      </c>
    </row>
    <row r="641" spans="1:4" x14ac:dyDescent="0.3">
      <c r="A641" t="s">
        <v>49</v>
      </c>
      <c r="D641" t="str">
        <f t="shared" si="9"/>
        <v xml:space="preserve">    NoWind,                  !- Wind Exposure</v>
      </c>
    </row>
    <row r="642" spans="1:4" x14ac:dyDescent="0.3">
      <c r="A642" t="s">
        <v>50</v>
      </c>
      <c r="D642" t="str">
        <f t="shared" ref="D642:D705" si="10">CONCATENATE(A642,B642)</f>
        <v xml:space="preserve">    ,                        !- View Factor to Ground</v>
      </c>
    </row>
    <row r="643" spans="1:4" x14ac:dyDescent="0.3">
      <c r="A643" t="s">
        <v>51</v>
      </c>
      <c r="D643" t="str">
        <f t="shared" si="10"/>
        <v xml:space="preserve">    ,                        !- Number of Vertices</v>
      </c>
    </row>
    <row r="644" spans="1:4" x14ac:dyDescent="0.3">
      <c r="A644" t="s">
        <v>85</v>
      </c>
      <c r="D644" t="str">
        <f t="shared" si="10"/>
        <v xml:space="preserve">    0,                       !- Vertex 1 X-coordinate {m}</v>
      </c>
    </row>
    <row r="645" spans="1:4" x14ac:dyDescent="0.3">
      <c r="A645" t="s">
        <v>75</v>
      </c>
      <c r="D645" t="str">
        <f t="shared" si="10"/>
        <v xml:space="preserve">    0,                       !- Vertex 1 Y-coordinate {m}</v>
      </c>
    </row>
    <row r="646" spans="1:4" x14ac:dyDescent="0.3">
      <c r="A646" t="s">
        <v>54</v>
      </c>
      <c r="D646" t="str">
        <f t="shared" si="10"/>
        <v xml:space="preserve">    2.7,                     !- Vertex 1 Z-coordinate {m}</v>
      </c>
    </row>
    <row r="647" spans="1:4" x14ac:dyDescent="0.3">
      <c r="A647" t="s">
        <v>87</v>
      </c>
      <c r="D647" t="str">
        <f t="shared" si="10"/>
        <v xml:space="preserve">    0,                       !- Vertex 2 X-coordinate {m}</v>
      </c>
    </row>
    <row r="648" spans="1:4" x14ac:dyDescent="0.3">
      <c r="A648" t="s">
        <v>76</v>
      </c>
      <c r="D648" t="str">
        <f t="shared" si="10"/>
        <v xml:space="preserve">    0,                       !- Vertex 2 Y-coordinate {m}</v>
      </c>
    </row>
    <row r="649" spans="1:4" x14ac:dyDescent="0.3">
      <c r="A649" t="s">
        <v>57</v>
      </c>
      <c r="D649" t="str">
        <f t="shared" si="10"/>
        <v xml:space="preserve">    0,                       !- Vertex 2 Z-coordinate {m}</v>
      </c>
    </row>
    <row r="650" spans="1:4" x14ac:dyDescent="0.3">
      <c r="A650" t="s">
        <v>82</v>
      </c>
      <c r="D650" t="str">
        <f t="shared" si="10"/>
        <v xml:space="preserve">    2.66,                    !- Vertex 3 X-coordinate {m}</v>
      </c>
    </row>
    <row r="651" spans="1:4" x14ac:dyDescent="0.3">
      <c r="A651" t="s">
        <v>90</v>
      </c>
      <c r="D651" t="str">
        <f t="shared" si="10"/>
        <v xml:space="preserve">    0,                       !- Vertex 3 Y-coordinate {m}</v>
      </c>
    </row>
    <row r="652" spans="1:4" x14ac:dyDescent="0.3">
      <c r="A652" t="s">
        <v>60</v>
      </c>
      <c r="D652" t="str">
        <f t="shared" si="10"/>
        <v xml:space="preserve">    0,                       !- Vertex 3 Z-coordinate {m}</v>
      </c>
    </row>
    <row r="653" spans="1:4" x14ac:dyDescent="0.3">
      <c r="A653" t="s">
        <v>83</v>
      </c>
      <c r="D653" t="str">
        <f t="shared" si="10"/>
        <v xml:space="preserve">    2.66,                    !- Vertex 4 X-coordinate {m}</v>
      </c>
    </row>
    <row r="654" spans="1:4" x14ac:dyDescent="0.3">
      <c r="A654" t="s">
        <v>92</v>
      </c>
      <c r="D654" t="str">
        <f t="shared" si="10"/>
        <v xml:space="preserve">    0,                       !- Vertex 4 Y-coordinate {m}</v>
      </c>
    </row>
    <row r="655" spans="1:4" x14ac:dyDescent="0.3">
      <c r="A655" t="s">
        <v>63</v>
      </c>
      <c r="D655" t="str">
        <f t="shared" si="10"/>
        <v xml:space="preserve">    2.7;                     !- Vertex 4 Z-coordinate {m}</v>
      </c>
    </row>
    <row r="656" spans="1:4" x14ac:dyDescent="0.3">
      <c r="D656" t="str">
        <f t="shared" si="10"/>
        <v/>
      </c>
    </row>
    <row r="657" spans="1:4" x14ac:dyDescent="0.3">
      <c r="A657" t="s">
        <v>42</v>
      </c>
      <c r="D657" t="str">
        <f t="shared" si="10"/>
        <v>BuildingSurface:Detailed,</v>
      </c>
    </row>
    <row r="658" spans="1:4" x14ac:dyDescent="0.3">
      <c r="A658" t="s">
        <v>192</v>
      </c>
      <c r="D658" t="str">
        <f t="shared" si="10"/>
        <v xml:space="preserve">    ParedeIntBanheiroSala2,  !- Name</v>
      </c>
    </row>
    <row r="659" spans="1:4" x14ac:dyDescent="0.3">
      <c r="A659" t="s">
        <v>44</v>
      </c>
      <c r="D659" t="str">
        <f t="shared" si="10"/>
        <v xml:space="preserve">    Wall,                    !- Surface Type</v>
      </c>
    </row>
    <row r="660" spans="1:4" x14ac:dyDescent="0.3">
      <c r="A660" t="str">
        <f>A1048574</f>
        <v>Parede  Tijolo cerâmico 9x14x24 c/ argamassa int e ext</v>
      </c>
      <c r="B660" t="s">
        <v>428</v>
      </c>
      <c r="D660" t="str">
        <f t="shared" si="10"/>
        <v>Parede  Tijolo cerâmico 9x14x24 c/ argamassa int e ext             ,  !- Construction Name</v>
      </c>
    </row>
    <row r="661" spans="1:4" x14ac:dyDescent="0.3">
      <c r="A661" t="s">
        <v>184</v>
      </c>
      <c r="D661" t="str">
        <f t="shared" si="10"/>
        <v xml:space="preserve">    Banheiro,                !- Zone Name</v>
      </c>
    </row>
    <row r="662" spans="1:4" x14ac:dyDescent="0.3">
      <c r="A662" t="s">
        <v>46</v>
      </c>
      <c r="D662" t="str">
        <f t="shared" si="10"/>
        <v xml:space="preserve">    Surface,                 !- Outside Boundary Condition</v>
      </c>
    </row>
    <row r="663" spans="1:4" x14ac:dyDescent="0.3">
      <c r="A663" t="s">
        <v>193</v>
      </c>
      <c r="D663" t="str">
        <f t="shared" si="10"/>
        <v xml:space="preserve">    Surface 11,              !- Outside Boundary Condition Object</v>
      </c>
    </row>
    <row r="664" spans="1:4" x14ac:dyDescent="0.3">
      <c r="A664" t="s">
        <v>48</v>
      </c>
      <c r="D664" t="str">
        <f t="shared" si="10"/>
        <v xml:space="preserve">    NoSun,                   !- Sun Exposure</v>
      </c>
    </row>
    <row r="665" spans="1:4" x14ac:dyDescent="0.3">
      <c r="A665" t="s">
        <v>49</v>
      </c>
      <c r="D665" t="str">
        <f t="shared" si="10"/>
        <v xml:space="preserve">    NoWind,                  !- Wind Exposure</v>
      </c>
    </row>
    <row r="666" spans="1:4" x14ac:dyDescent="0.3">
      <c r="A666" t="s">
        <v>50</v>
      </c>
      <c r="D666" t="str">
        <f t="shared" si="10"/>
        <v xml:space="preserve">    ,                        !- View Factor to Ground</v>
      </c>
    </row>
    <row r="667" spans="1:4" x14ac:dyDescent="0.3">
      <c r="A667" t="s">
        <v>51</v>
      </c>
      <c r="D667" t="str">
        <f t="shared" si="10"/>
        <v xml:space="preserve">    ,                        !- Number of Vertices</v>
      </c>
    </row>
    <row r="668" spans="1:4" x14ac:dyDescent="0.3">
      <c r="A668" t="s">
        <v>96</v>
      </c>
      <c r="D668" t="str">
        <f t="shared" si="10"/>
        <v xml:space="preserve">    2.66,                    !- Vertex 1 X-coordinate {m}</v>
      </c>
    </row>
    <row r="669" spans="1:4" x14ac:dyDescent="0.3">
      <c r="A669" t="s">
        <v>75</v>
      </c>
      <c r="D669" t="str">
        <f t="shared" si="10"/>
        <v xml:space="preserve">    0,                       !- Vertex 1 Y-coordinate {m}</v>
      </c>
    </row>
    <row r="670" spans="1:4" x14ac:dyDescent="0.3">
      <c r="A670" t="s">
        <v>54</v>
      </c>
      <c r="D670" t="str">
        <f t="shared" si="10"/>
        <v xml:space="preserve">    2.7,                     !- Vertex 1 Z-coordinate {m}</v>
      </c>
    </row>
    <row r="671" spans="1:4" x14ac:dyDescent="0.3">
      <c r="A671" t="s">
        <v>97</v>
      </c>
      <c r="D671" t="str">
        <f t="shared" si="10"/>
        <v xml:space="preserve">    2.66,                    !- Vertex 2 X-coordinate {m}</v>
      </c>
    </row>
    <row r="672" spans="1:4" x14ac:dyDescent="0.3">
      <c r="A672" t="s">
        <v>76</v>
      </c>
      <c r="D672" t="str">
        <f t="shared" si="10"/>
        <v xml:space="preserve">    0,                       !- Vertex 2 Y-coordinate {m}</v>
      </c>
    </row>
    <row r="673" spans="1:4" x14ac:dyDescent="0.3">
      <c r="A673" t="s">
        <v>57</v>
      </c>
      <c r="D673" t="str">
        <f t="shared" si="10"/>
        <v xml:space="preserve">    0,                       !- Vertex 2 Z-coordinate {m}</v>
      </c>
    </row>
    <row r="674" spans="1:4" x14ac:dyDescent="0.3">
      <c r="A674" t="s">
        <v>82</v>
      </c>
      <c r="D674" t="str">
        <f t="shared" si="10"/>
        <v xml:space="preserve">    2.66,                    !- Vertex 3 X-coordinate {m}</v>
      </c>
    </row>
    <row r="675" spans="1:4" x14ac:dyDescent="0.3">
      <c r="A675" t="s">
        <v>187</v>
      </c>
      <c r="D675" t="str">
        <f t="shared" si="10"/>
        <v xml:space="preserve">    1.81999999999999,        !- Vertex 3 Y-coordinate {m}</v>
      </c>
    </row>
    <row r="676" spans="1:4" x14ac:dyDescent="0.3">
      <c r="A676" t="s">
        <v>60</v>
      </c>
      <c r="D676" t="str">
        <f t="shared" si="10"/>
        <v xml:space="preserve">    0,                       !- Vertex 3 Z-coordinate {m}</v>
      </c>
    </row>
    <row r="677" spans="1:4" x14ac:dyDescent="0.3">
      <c r="A677" t="s">
        <v>83</v>
      </c>
      <c r="D677" t="str">
        <f t="shared" si="10"/>
        <v xml:space="preserve">    2.66,                    !- Vertex 4 X-coordinate {m}</v>
      </c>
    </row>
    <row r="678" spans="1:4" x14ac:dyDescent="0.3">
      <c r="A678" t="s">
        <v>188</v>
      </c>
      <c r="D678" t="str">
        <f t="shared" si="10"/>
        <v xml:space="preserve">    1.81999999999999,        !- Vertex 4 Y-coordinate {m}</v>
      </c>
    </row>
    <row r="679" spans="1:4" x14ac:dyDescent="0.3">
      <c r="A679" t="s">
        <v>63</v>
      </c>
      <c r="D679" t="str">
        <f t="shared" si="10"/>
        <v xml:space="preserve">    2.7;                     !- Vertex 4 Z-coordinate {m}</v>
      </c>
    </row>
    <row r="680" spans="1:4" x14ac:dyDescent="0.3">
      <c r="D680" t="str">
        <f t="shared" si="10"/>
        <v/>
      </c>
    </row>
    <row r="681" spans="1:4" x14ac:dyDescent="0.3">
      <c r="A681" t="s">
        <v>42</v>
      </c>
      <c r="D681" t="str">
        <f t="shared" si="10"/>
        <v>BuildingSurface:Detailed,</v>
      </c>
    </row>
    <row r="682" spans="1:4" x14ac:dyDescent="0.3">
      <c r="A682" t="s">
        <v>194</v>
      </c>
      <c r="D682" t="str">
        <f t="shared" si="10"/>
        <v xml:space="preserve">    Surface 31,              !- Name</v>
      </c>
    </row>
    <row r="683" spans="1:4" x14ac:dyDescent="0.3">
      <c r="A683" t="s">
        <v>104</v>
      </c>
      <c r="D683" t="str">
        <f t="shared" si="10"/>
        <v xml:space="preserve">    Floor,                   !- Surface Type</v>
      </c>
    </row>
    <row r="684" spans="1:4" x14ac:dyDescent="0.3">
      <c r="A684" t="s">
        <v>105</v>
      </c>
      <c r="D684" t="str">
        <f t="shared" si="10"/>
        <v xml:space="preserve">    Laje protendida alveolar,!- Construction Name</v>
      </c>
    </row>
    <row r="685" spans="1:4" x14ac:dyDescent="0.3">
      <c r="A685" t="s">
        <v>184</v>
      </c>
      <c r="D685" t="str">
        <f t="shared" si="10"/>
        <v xml:space="preserve">    Banheiro,                !- Zone Name</v>
      </c>
    </row>
    <row r="686" spans="1:4" x14ac:dyDescent="0.3">
      <c r="A686" t="s">
        <v>106</v>
      </c>
      <c r="D686" t="str">
        <f t="shared" si="10"/>
        <v xml:space="preserve">    Ground,                  !- Outside Boundary Condition</v>
      </c>
    </row>
    <row r="687" spans="1:4" x14ac:dyDescent="0.3">
      <c r="A687" t="s">
        <v>72</v>
      </c>
      <c r="D687" t="str">
        <f t="shared" si="10"/>
        <v xml:space="preserve">    ,                        !- Outside Boundary Condition Object</v>
      </c>
    </row>
    <row r="688" spans="1:4" x14ac:dyDescent="0.3">
      <c r="A688" t="s">
        <v>48</v>
      </c>
      <c r="D688" t="str">
        <f t="shared" si="10"/>
        <v xml:space="preserve">    NoSun,                   !- Sun Exposure</v>
      </c>
    </row>
    <row r="689" spans="1:4" x14ac:dyDescent="0.3">
      <c r="A689" t="s">
        <v>49</v>
      </c>
      <c r="D689" t="str">
        <f t="shared" si="10"/>
        <v xml:space="preserve">    NoWind,                  !- Wind Exposure</v>
      </c>
    </row>
    <row r="690" spans="1:4" x14ac:dyDescent="0.3">
      <c r="A690" t="s">
        <v>50</v>
      </c>
      <c r="D690" t="str">
        <f t="shared" si="10"/>
        <v xml:space="preserve">    ,                        !- View Factor to Ground</v>
      </c>
    </row>
    <row r="691" spans="1:4" x14ac:dyDescent="0.3">
      <c r="A691" t="s">
        <v>51</v>
      </c>
      <c r="D691" t="str">
        <f t="shared" si="10"/>
        <v xml:space="preserve">    ,                        !- Number of Vertices</v>
      </c>
    </row>
    <row r="692" spans="1:4" x14ac:dyDescent="0.3">
      <c r="A692" t="s">
        <v>96</v>
      </c>
      <c r="D692" t="str">
        <f t="shared" si="10"/>
        <v xml:space="preserve">    2.66,                    !- Vertex 1 X-coordinate {m}</v>
      </c>
    </row>
    <row r="693" spans="1:4" x14ac:dyDescent="0.3">
      <c r="A693" t="s">
        <v>185</v>
      </c>
      <c r="D693" t="str">
        <f t="shared" si="10"/>
        <v xml:space="preserve">    1.81999999999999,        !- Vertex 1 Y-coordinate {m}</v>
      </c>
    </row>
    <row r="694" spans="1:4" x14ac:dyDescent="0.3">
      <c r="A694" t="s">
        <v>107</v>
      </c>
      <c r="D694" t="str">
        <f t="shared" si="10"/>
        <v xml:space="preserve">    0,                       !- Vertex 1 Z-coordinate {m}</v>
      </c>
    </row>
    <row r="695" spans="1:4" x14ac:dyDescent="0.3">
      <c r="A695" t="s">
        <v>97</v>
      </c>
      <c r="D695" t="str">
        <f t="shared" si="10"/>
        <v xml:space="preserve">    2.66,                    !- Vertex 2 X-coordinate {m}</v>
      </c>
    </row>
    <row r="696" spans="1:4" x14ac:dyDescent="0.3">
      <c r="A696" t="s">
        <v>76</v>
      </c>
      <c r="D696" t="str">
        <f t="shared" si="10"/>
        <v xml:space="preserve">    0,                       !- Vertex 2 Y-coordinate {m}</v>
      </c>
    </row>
    <row r="697" spans="1:4" x14ac:dyDescent="0.3">
      <c r="A697" t="s">
        <v>57</v>
      </c>
      <c r="D697" t="str">
        <f t="shared" si="10"/>
        <v xml:space="preserve">    0,                       !- Vertex 2 Z-coordinate {m}</v>
      </c>
    </row>
    <row r="698" spans="1:4" x14ac:dyDescent="0.3">
      <c r="A698" t="s">
        <v>89</v>
      </c>
      <c r="D698" t="str">
        <f t="shared" si="10"/>
        <v xml:space="preserve">    0,                       !- Vertex 3 X-coordinate {m}</v>
      </c>
    </row>
    <row r="699" spans="1:4" x14ac:dyDescent="0.3">
      <c r="A699" t="s">
        <v>90</v>
      </c>
      <c r="D699" t="str">
        <f t="shared" si="10"/>
        <v xml:space="preserve">    0,                       !- Vertex 3 Y-coordinate {m}</v>
      </c>
    </row>
    <row r="700" spans="1:4" x14ac:dyDescent="0.3">
      <c r="A700" t="s">
        <v>60</v>
      </c>
      <c r="D700" t="str">
        <f t="shared" si="10"/>
        <v xml:space="preserve">    0,                       !- Vertex 3 Z-coordinate {m}</v>
      </c>
    </row>
    <row r="701" spans="1:4" x14ac:dyDescent="0.3">
      <c r="A701" t="s">
        <v>91</v>
      </c>
      <c r="D701" t="str">
        <f t="shared" si="10"/>
        <v xml:space="preserve">    0,                       !- Vertex 4 X-coordinate {m}</v>
      </c>
    </row>
    <row r="702" spans="1:4" x14ac:dyDescent="0.3">
      <c r="A702" t="s">
        <v>188</v>
      </c>
      <c r="D702" t="str">
        <f t="shared" si="10"/>
        <v xml:space="preserve">    1.81999999999999,        !- Vertex 4 Y-coordinate {m}</v>
      </c>
    </row>
    <row r="703" spans="1:4" x14ac:dyDescent="0.3">
      <c r="A703" t="s">
        <v>146</v>
      </c>
      <c r="D703" t="str">
        <f t="shared" si="10"/>
        <v xml:space="preserve">    0;                       !- Vertex 4 Z-coordinate {m}</v>
      </c>
    </row>
    <row r="704" spans="1:4" x14ac:dyDescent="0.3">
      <c r="D704" t="str">
        <f t="shared" si="10"/>
        <v/>
      </c>
    </row>
    <row r="705" spans="1:4" x14ac:dyDescent="0.3">
      <c r="A705" t="s">
        <v>42</v>
      </c>
      <c r="D705" t="str">
        <f t="shared" si="10"/>
        <v>BuildingSurface:Detailed,</v>
      </c>
    </row>
    <row r="706" spans="1:4" x14ac:dyDescent="0.3">
      <c r="A706" t="s">
        <v>195</v>
      </c>
      <c r="D706" t="str">
        <f t="shared" ref="D706:D769" si="11">CONCATENATE(A706,B706)</f>
        <v xml:space="preserve">    Surface 32,              !- Name</v>
      </c>
    </row>
    <row r="707" spans="1:4" x14ac:dyDescent="0.3">
      <c r="A707" t="s">
        <v>116</v>
      </c>
      <c r="D707" t="str">
        <f t="shared" si="11"/>
        <v xml:space="preserve">    Ceiling,                 !- Surface Type</v>
      </c>
    </row>
    <row r="708" spans="1:4" x14ac:dyDescent="0.3">
      <c r="A708" t="str">
        <f>B1048574</f>
        <v>Forro PVC</v>
      </c>
      <c r="B708" t="s">
        <v>427</v>
      </c>
      <c r="D708" t="str">
        <f t="shared" si="11"/>
        <v>Forro PVC,               !- Construction Name</v>
      </c>
    </row>
    <row r="709" spans="1:4" x14ac:dyDescent="0.3">
      <c r="A709" t="s">
        <v>184</v>
      </c>
      <c r="D709" t="str">
        <f t="shared" si="11"/>
        <v xml:space="preserve">    Banheiro,                !- Zone Name</v>
      </c>
    </row>
    <row r="710" spans="1:4" x14ac:dyDescent="0.3">
      <c r="A710" t="s">
        <v>46</v>
      </c>
      <c r="D710" t="str">
        <f t="shared" si="11"/>
        <v xml:space="preserve">    Surface,                 !- Outside Boundary Condition</v>
      </c>
    </row>
    <row r="711" spans="1:4" x14ac:dyDescent="0.3">
      <c r="A711" t="s">
        <v>196</v>
      </c>
      <c r="D711" t="str">
        <f t="shared" si="11"/>
        <v xml:space="preserve">    ForroBanheiro,           !- Outside Boundary Condition Object</v>
      </c>
    </row>
    <row r="712" spans="1:4" x14ac:dyDescent="0.3">
      <c r="A712" t="s">
        <v>48</v>
      </c>
      <c r="D712" t="str">
        <f t="shared" si="11"/>
        <v xml:space="preserve">    NoSun,                   !- Sun Exposure</v>
      </c>
    </row>
    <row r="713" spans="1:4" x14ac:dyDescent="0.3">
      <c r="A713" t="s">
        <v>49</v>
      </c>
      <c r="D713" t="str">
        <f t="shared" si="11"/>
        <v xml:space="preserve">    NoWind,                  !- Wind Exposure</v>
      </c>
    </row>
    <row r="714" spans="1:4" x14ac:dyDescent="0.3">
      <c r="A714" t="s">
        <v>50</v>
      </c>
      <c r="D714" t="str">
        <f t="shared" si="11"/>
        <v xml:space="preserve">    ,                        !- View Factor to Ground</v>
      </c>
    </row>
    <row r="715" spans="1:4" x14ac:dyDescent="0.3">
      <c r="A715" t="s">
        <v>51</v>
      </c>
      <c r="D715" t="str">
        <f t="shared" si="11"/>
        <v xml:space="preserve">    ,                        !- Number of Vertices</v>
      </c>
    </row>
    <row r="716" spans="1:4" x14ac:dyDescent="0.3">
      <c r="A716" t="s">
        <v>96</v>
      </c>
      <c r="D716" t="str">
        <f t="shared" si="11"/>
        <v xml:space="preserve">    2.66,                    !- Vertex 1 X-coordinate {m}</v>
      </c>
    </row>
    <row r="717" spans="1:4" x14ac:dyDescent="0.3">
      <c r="A717" t="s">
        <v>75</v>
      </c>
      <c r="D717" t="str">
        <f t="shared" si="11"/>
        <v xml:space="preserve">    0,                       !- Vertex 1 Y-coordinate {m}</v>
      </c>
    </row>
    <row r="718" spans="1:4" x14ac:dyDescent="0.3">
      <c r="A718" t="s">
        <v>54</v>
      </c>
      <c r="D718" t="str">
        <f t="shared" si="11"/>
        <v xml:space="preserve">    2.7,                     !- Vertex 1 Z-coordinate {m}</v>
      </c>
    </row>
    <row r="719" spans="1:4" x14ac:dyDescent="0.3">
      <c r="A719" t="s">
        <v>97</v>
      </c>
      <c r="D719" t="str">
        <f t="shared" si="11"/>
        <v xml:space="preserve">    2.66,                    !- Vertex 2 X-coordinate {m}</v>
      </c>
    </row>
    <row r="720" spans="1:4" x14ac:dyDescent="0.3">
      <c r="A720" t="s">
        <v>186</v>
      </c>
      <c r="D720" t="str">
        <f t="shared" si="11"/>
        <v xml:space="preserve">    1.81999999999999,        !- Vertex 2 Y-coordinate {m}</v>
      </c>
    </row>
    <row r="721" spans="1:4" x14ac:dyDescent="0.3">
      <c r="A721" t="s">
        <v>118</v>
      </c>
      <c r="D721" t="str">
        <f t="shared" si="11"/>
        <v xml:space="preserve">    2.7,                     !- Vertex 2 Z-coordinate {m}</v>
      </c>
    </row>
    <row r="722" spans="1:4" x14ac:dyDescent="0.3">
      <c r="A722" t="s">
        <v>89</v>
      </c>
      <c r="D722" t="str">
        <f t="shared" si="11"/>
        <v xml:space="preserve">    0,                       !- Vertex 3 X-coordinate {m}</v>
      </c>
    </row>
    <row r="723" spans="1:4" x14ac:dyDescent="0.3">
      <c r="A723" t="s">
        <v>187</v>
      </c>
      <c r="D723" t="str">
        <f t="shared" si="11"/>
        <v xml:space="preserve">    1.81999999999999,        !- Vertex 3 Y-coordinate {m}</v>
      </c>
    </row>
    <row r="724" spans="1:4" x14ac:dyDescent="0.3">
      <c r="A724" t="s">
        <v>120</v>
      </c>
      <c r="D724" t="str">
        <f t="shared" si="11"/>
        <v xml:space="preserve">    2.7,                     !- Vertex 3 Z-coordinate {m}</v>
      </c>
    </row>
    <row r="725" spans="1:4" x14ac:dyDescent="0.3">
      <c r="A725" t="s">
        <v>91</v>
      </c>
      <c r="D725" t="str">
        <f t="shared" si="11"/>
        <v xml:space="preserve">    0,                       !- Vertex 4 X-coordinate {m}</v>
      </c>
    </row>
    <row r="726" spans="1:4" x14ac:dyDescent="0.3">
      <c r="A726" t="s">
        <v>92</v>
      </c>
      <c r="D726" t="str">
        <f t="shared" si="11"/>
        <v xml:space="preserve">    0,                       !- Vertex 4 Y-coordinate {m}</v>
      </c>
    </row>
    <row r="727" spans="1:4" x14ac:dyDescent="0.3">
      <c r="A727" t="s">
        <v>63</v>
      </c>
      <c r="D727" t="str">
        <f t="shared" si="11"/>
        <v xml:space="preserve">    2.7;                     !- Vertex 4 Z-coordinate {m}</v>
      </c>
    </row>
    <row r="728" spans="1:4" x14ac:dyDescent="0.3">
      <c r="D728" t="str">
        <f t="shared" si="11"/>
        <v/>
      </c>
    </row>
    <row r="729" spans="1:4" x14ac:dyDescent="0.3">
      <c r="A729" t="s">
        <v>42</v>
      </c>
      <c r="D729" t="str">
        <f t="shared" si="11"/>
        <v>BuildingSurface:Detailed,</v>
      </c>
    </row>
    <row r="730" spans="1:4" x14ac:dyDescent="0.3">
      <c r="A730" t="s">
        <v>197</v>
      </c>
      <c r="D730" t="str">
        <f t="shared" si="11"/>
        <v xml:space="preserve">    ForroBanheiro,           !- Name</v>
      </c>
    </row>
    <row r="731" spans="1:4" x14ac:dyDescent="0.3">
      <c r="A731" t="s">
        <v>104</v>
      </c>
      <c r="D731" t="str">
        <f t="shared" si="11"/>
        <v xml:space="preserve">    Floor,                   !- Surface Type</v>
      </c>
    </row>
    <row r="732" spans="1:4" x14ac:dyDescent="0.3">
      <c r="A732" t="str">
        <f>B1048574</f>
        <v>Forro PVC</v>
      </c>
      <c r="B732" t="s">
        <v>427</v>
      </c>
      <c r="D732" t="str">
        <f t="shared" si="11"/>
        <v>Forro PVC,               !- Construction Name</v>
      </c>
    </row>
    <row r="733" spans="1:4" x14ac:dyDescent="0.3">
      <c r="A733" t="s">
        <v>198</v>
      </c>
      <c r="D733" t="str">
        <f t="shared" si="11"/>
        <v xml:space="preserve">    Telhado1,                !- Zone Name</v>
      </c>
    </row>
    <row r="734" spans="1:4" x14ac:dyDescent="0.3">
      <c r="A734" t="s">
        <v>46</v>
      </c>
      <c r="D734" t="str">
        <f t="shared" si="11"/>
        <v xml:space="preserve">    Surface,                 !- Outside Boundary Condition</v>
      </c>
    </row>
    <row r="735" spans="1:4" x14ac:dyDescent="0.3">
      <c r="A735" t="s">
        <v>199</v>
      </c>
      <c r="D735" t="str">
        <f t="shared" si="11"/>
        <v xml:space="preserve">    Surface 32,              !- Outside Boundary Condition Object</v>
      </c>
    </row>
    <row r="736" spans="1:4" x14ac:dyDescent="0.3">
      <c r="A736" t="s">
        <v>48</v>
      </c>
      <c r="D736" t="str">
        <f t="shared" si="11"/>
        <v xml:space="preserve">    NoSun,                   !- Sun Exposure</v>
      </c>
    </row>
    <row r="737" spans="1:4" x14ac:dyDescent="0.3">
      <c r="A737" t="s">
        <v>49</v>
      </c>
      <c r="D737" t="str">
        <f t="shared" si="11"/>
        <v xml:space="preserve">    NoWind,                  !- Wind Exposure</v>
      </c>
    </row>
    <row r="738" spans="1:4" x14ac:dyDescent="0.3">
      <c r="A738" t="s">
        <v>50</v>
      </c>
      <c r="D738" t="str">
        <f t="shared" si="11"/>
        <v xml:space="preserve">    ,                        !- View Factor to Ground</v>
      </c>
    </row>
    <row r="739" spans="1:4" x14ac:dyDescent="0.3">
      <c r="A739" t="s">
        <v>51</v>
      </c>
      <c r="D739" t="str">
        <f t="shared" si="11"/>
        <v xml:space="preserve">    ,                        !- Number of Vertices</v>
      </c>
    </row>
    <row r="740" spans="1:4" x14ac:dyDescent="0.3">
      <c r="A740" t="s">
        <v>96</v>
      </c>
      <c r="D740" t="str">
        <f t="shared" si="11"/>
        <v xml:space="preserve">    2.66,                    !- Vertex 1 X-coordinate {m}</v>
      </c>
    </row>
    <row r="741" spans="1:4" x14ac:dyDescent="0.3">
      <c r="A741" t="s">
        <v>80</v>
      </c>
      <c r="D741" t="str">
        <f t="shared" si="11"/>
        <v xml:space="preserve">    6.73,                    !- Vertex 1 Y-coordinate {m}</v>
      </c>
    </row>
    <row r="742" spans="1:4" x14ac:dyDescent="0.3">
      <c r="A742" t="s">
        <v>107</v>
      </c>
      <c r="D742" t="str">
        <f t="shared" si="11"/>
        <v xml:space="preserve">    0,                       !- Vertex 1 Z-coordinate {m}</v>
      </c>
    </row>
    <row r="743" spans="1:4" x14ac:dyDescent="0.3">
      <c r="A743" t="s">
        <v>97</v>
      </c>
      <c r="D743" t="str">
        <f t="shared" si="11"/>
        <v xml:space="preserve">    2.66,                    !- Vertex 2 X-coordinate {m}</v>
      </c>
    </row>
    <row r="744" spans="1:4" x14ac:dyDescent="0.3">
      <c r="A744" t="s">
        <v>88</v>
      </c>
      <c r="D744" t="str">
        <f t="shared" si="11"/>
        <v xml:space="preserve">    4.91,                    !- Vertex 2 Y-coordinate {m}</v>
      </c>
    </row>
    <row r="745" spans="1:4" x14ac:dyDescent="0.3">
      <c r="A745" t="s">
        <v>57</v>
      </c>
      <c r="D745" t="str">
        <f t="shared" si="11"/>
        <v xml:space="preserve">    0,                       !- Vertex 2 Z-coordinate {m}</v>
      </c>
    </row>
    <row r="746" spans="1:4" x14ac:dyDescent="0.3">
      <c r="A746" t="s">
        <v>89</v>
      </c>
      <c r="D746" t="str">
        <f t="shared" si="11"/>
        <v xml:space="preserve">    0,                       !- Vertex 3 X-coordinate {m}</v>
      </c>
    </row>
    <row r="747" spans="1:4" x14ac:dyDescent="0.3">
      <c r="A747" t="s">
        <v>98</v>
      </c>
      <c r="D747" t="str">
        <f t="shared" si="11"/>
        <v xml:space="preserve">    4.91,                    !- Vertex 3 Y-coordinate {m}</v>
      </c>
    </row>
    <row r="748" spans="1:4" x14ac:dyDescent="0.3">
      <c r="A748" t="s">
        <v>60</v>
      </c>
      <c r="D748" t="str">
        <f t="shared" si="11"/>
        <v xml:space="preserve">    0,                       !- Vertex 3 Z-coordinate {m}</v>
      </c>
    </row>
    <row r="749" spans="1:4" x14ac:dyDescent="0.3">
      <c r="A749" t="s">
        <v>91</v>
      </c>
      <c r="D749" t="str">
        <f t="shared" si="11"/>
        <v xml:space="preserve">    0,                       !- Vertex 4 X-coordinate {m}</v>
      </c>
    </row>
    <row r="750" spans="1:4" x14ac:dyDescent="0.3">
      <c r="A750" t="s">
        <v>69</v>
      </c>
      <c r="D750" t="str">
        <f t="shared" si="11"/>
        <v xml:space="preserve">    6.73,                    !- Vertex 4 Y-coordinate {m}</v>
      </c>
    </row>
    <row r="751" spans="1:4" x14ac:dyDescent="0.3">
      <c r="A751" t="s">
        <v>146</v>
      </c>
      <c r="D751" t="str">
        <f t="shared" si="11"/>
        <v xml:space="preserve">    0;                       !- Vertex 4 Z-coordinate {m}</v>
      </c>
    </row>
    <row r="752" spans="1:4" x14ac:dyDescent="0.3">
      <c r="D752" t="str">
        <f t="shared" si="11"/>
        <v/>
      </c>
    </row>
    <row r="753" spans="1:4" x14ac:dyDescent="0.3">
      <c r="A753" t="s">
        <v>42</v>
      </c>
      <c r="D753" t="str">
        <f t="shared" si="11"/>
        <v>BuildingSurface:Detailed,</v>
      </c>
    </row>
    <row r="754" spans="1:4" x14ac:dyDescent="0.3">
      <c r="A754" t="s">
        <v>200</v>
      </c>
      <c r="D754" t="str">
        <f t="shared" si="11"/>
        <v xml:space="preserve">    ForroSala1,              !- Name</v>
      </c>
    </row>
    <row r="755" spans="1:4" x14ac:dyDescent="0.3">
      <c r="A755" t="s">
        <v>104</v>
      </c>
      <c r="D755" t="str">
        <f t="shared" si="11"/>
        <v xml:space="preserve">    Floor,                   !- Surface Type</v>
      </c>
    </row>
    <row r="756" spans="1:4" x14ac:dyDescent="0.3">
      <c r="A756" t="str">
        <f>B1048574</f>
        <v>Forro PVC</v>
      </c>
      <c r="B756" t="s">
        <v>427</v>
      </c>
      <c r="D756" t="str">
        <f t="shared" si="11"/>
        <v>Forro PVC,               !- Construction Name</v>
      </c>
    </row>
    <row r="757" spans="1:4" x14ac:dyDescent="0.3">
      <c r="A757" t="s">
        <v>198</v>
      </c>
      <c r="D757" t="str">
        <f t="shared" si="11"/>
        <v xml:space="preserve">    Telhado1,                !- Zone Name</v>
      </c>
    </row>
    <row r="758" spans="1:4" x14ac:dyDescent="0.3">
      <c r="A758" t="s">
        <v>106</v>
      </c>
      <c r="D758" t="str">
        <f t="shared" si="11"/>
        <v xml:space="preserve">    Ground,                  !- Outside Boundary Condition</v>
      </c>
    </row>
    <row r="759" spans="1:4" x14ac:dyDescent="0.3">
      <c r="A759" t="s">
        <v>72</v>
      </c>
      <c r="D759" t="str">
        <f t="shared" si="11"/>
        <v xml:space="preserve">    ,                        !- Outside Boundary Condition Object</v>
      </c>
    </row>
    <row r="760" spans="1:4" x14ac:dyDescent="0.3">
      <c r="A760" t="s">
        <v>48</v>
      </c>
      <c r="D760" t="str">
        <f t="shared" si="11"/>
        <v xml:space="preserve">    NoSun,                   !- Sun Exposure</v>
      </c>
    </row>
    <row r="761" spans="1:4" x14ac:dyDescent="0.3">
      <c r="A761" t="s">
        <v>49</v>
      </c>
      <c r="D761" t="str">
        <f t="shared" si="11"/>
        <v xml:space="preserve">    NoWind,                  !- Wind Exposure</v>
      </c>
    </row>
    <row r="762" spans="1:4" x14ac:dyDescent="0.3">
      <c r="A762" t="s">
        <v>50</v>
      </c>
      <c r="D762" t="str">
        <f t="shared" si="11"/>
        <v xml:space="preserve">    ,                        !- View Factor to Ground</v>
      </c>
    </row>
    <row r="763" spans="1:4" x14ac:dyDescent="0.3">
      <c r="A763" t="s">
        <v>51</v>
      </c>
      <c r="D763" t="str">
        <f t="shared" si="11"/>
        <v xml:space="preserve">    ,                        !- Number of Vertices</v>
      </c>
    </row>
    <row r="764" spans="1:4" x14ac:dyDescent="0.3">
      <c r="A764" t="s">
        <v>201</v>
      </c>
      <c r="D764" t="str">
        <f t="shared" si="11"/>
        <v xml:space="preserve">    3.295,                   !- Vertex 1 X-coordinate {m}</v>
      </c>
    </row>
    <row r="765" spans="1:4" x14ac:dyDescent="0.3">
      <c r="A765" t="s">
        <v>80</v>
      </c>
      <c r="D765" t="str">
        <f t="shared" si="11"/>
        <v xml:space="preserve">    6.73,                    !- Vertex 1 Y-coordinate {m}</v>
      </c>
    </row>
    <row r="766" spans="1:4" x14ac:dyDescent="0.3">
      <c r="A766" t="s">
        <v>107</v>
      </c>
      <c r="D766" t="str">
        <f t="shared" si="11"/>
        <v xml:space="preserve">    0,                       !- Vertex 1 Z-coordinate {m}</v>
      </c>
    </row>
    <row r="767" spans="1:4" x14ac:dyDescent="0.3">
      <c r="A767" t="s">
        <v>202</v>
      </c>
      <c r="D767" t="str">
        <f t="shared" si="11"/>
        <v xml:space="preserve">    3.295,                   !- Vertex 2 X-coordinate {m}</v>
      </c>
    </row>
    <row r="768" spans="1:4" x14ac:dyDescent="0.3">
      <c r="A768" t="s">
        <v>76</v>
      </c>
      <c r="D768" t="str">
        <f t="shared" si="11"/>
        <v xml:space="preserve">    0,                       !- Vertex 2 Y-coordinate {m}</v>
      </c>
    </row>
    <row r="769" spans="1:4" x14ac:dyDescent="0.3">
      <c r="A769" t="s">
        <v>203</v>
      </c>
      <c r="D769" t="str">
        <f t="shared" si="11"/>
        <v xml:space="preserve">    3.60955709766131e-016,   !- Vertex 2 Z-coordinate {m}</v>
      </c>
    </row>
    <row r="770" spans="1:4" x14ac:dyDescent="0.3">
      <c r="A770" t="s">
        <v>89</v>
      </c>
      <c r="D770" t="str">
        <f t="shared" ref="D770:D833" si="12">CONCATENATE(A770,B770)</f>
        <v xml:space="preserve">    0,                       !- Vertex 3 X-coordinate {m}</v>
      </c>
    </row>
    <row r="771" spans="1:4" x14ac:dyDescent="0.3">
      <c r="A771" t="s">
        <v>90</v>
      </c>
      <c r="D771" t="str">
        <f t="shared" si="12"/>
        <v xml:space="preserve">    0,                       !- Vertex 3 Y-coordinate {m}</v>
      </c>
    </row>
    <row r="772" spans="1:4" x14ac:dyDescent="0.3">
      <c r="A772" t="s">
        <v>60</v>
      </c>
      <c r="D772" t="str">
        <f t="shared" si="12"/>
        <v xml:space="preserve">    0,                       !- Vertex 3 Z-coordinate {m}</v>
      </c>
    </row>
    <row r="773" spans="1:4" x14ac:dyDescent="0.3">
      <c r="A773" t="s">
        <v>91</v>
      </c>
      <c r="D773" t="str">
        <f t="shared" si="12"/>
        <v xml:space="preserve">    0,                       !- Vertex 4 X-coordinate {m}</v>
      </c>
    </row>
    <row r="774" spans="1:4" x14ac:dyDescent="0.3">
      <c r="A774" t="s">
        <v>99</v>
      </c>
      <c r="D774" t="str">
        <f t="shared" si="12"/>
        <v xml:space="preserve">    4.91,                    !- Vertex 4 Y-coordinate {m}</v>
      </c>
    </row>
    <row r="775" spans="1:4" x14ac:dyDescent="0.3">
      <c r="A775" t="s">
        <v>108</v>
      </c>
      <c r="D775" t="str">
        <f t="shared" si="12"/>
        <v xml:space="preserve">    0,                       !- Vertex 4 Z-coordinate {m}</v>
      </c>
    </row>
    <row r="776" spans="1:4" x14ac:dyDescent="0.3">
      <c r="A776" t="s">
        <v>109</v>
      </c>
      <c r="D776" t="str">
        <f t="shared" si="12"/>
        <v xml:space="preserve">    2.66,                    !- Vertex 5 X-coordinate {m}</v>
      </c>
    </row>
    <row r="777" spans="1:4" x14ac:dyDescent="0.3">
      <c r="A777" t="s">
        <v>110</v>
      </c>
      <c r="D777" t="str">
        <f t="shared" si="12"/>
        <v xml:space="preserve">    4.91,                    !- Vertex 5 Y-coordinate {m}</v>
      </c>
    </row>
    <row r="778" spans="1:4" x14ac:dyDescent="0.3">
      <c r="A778" t="s">
        <v>111</v>
      </c>
      <c r="D778" t="str">
        <f t="shared" si="12"/>
        <v xml:space="preserve">    0,                       !- Vertex 5 Z-coordinate {m}</v>
      </c>
    </row>
    <row r="779" spans="1:4" x14ac:dyDescent="0.3">
      <c r="A779" t="s">
        <v>112</v>
      </c>
      <c r="D779" t="str">
        <f t="shared" si="12"/>
        <v xml:space="preserve">    2.66,                    !- Vertex 6 X-coordinate {m}</v>
      </c>
    </row>
    <row r="780" spans="1:4" x14ac:dyDescent="0.3">
      <c r="A780" t="s">
        <v>113</v>
      </c>
      <c r="D780" t="str">
        <f t="shared" si="12"/>
        <v xml:space="preserve">    6.73,                    !- Vertex 6 Y-coordinate {m}</v>
      </c>
    </row>
    <row r="781" spans="1:4" x14ac:dyDescent="0.3">
      <c r="A781" t="s">
        <v>114</v>
      </c>
      <c r="D781" t="str">
        <f t="shared" si="12"/>
        <v xml:space="preserve">    0;                       !- Vertex 6 Z-coordinate {m}</v>
      </c>
    </row>
    <row r="782" spans="1:4" x14ac:dyDescent="0.3">
      <c r="D782" t="str">
        <f t="shared" si="12"/>
        <v/>
      </c>
    </row>
    <row r="783" spans="1:4" x14ac:dyDescent="0.3">
      <c r="A783" t="s">
        <v>42</v>
      </c>
      <c r="D783" t="str">
        <f t="shared" si="12"/>
        <v>BuildingSurface:Detailed,</v>
      </c>
    </row>
    <row r="784" spans="1:4" x14ac:dyDescent="0.3">
      <c r="A784" t="s">
        <v>204</v>
      </c>
      <c r="D784" t="str">
        <f t="shared" si="12"/>
        <v xml:space="preserve">    ParedeIntTelhado1Telhado2,  !- Name</v>
      </c>
    </row>
    <row r="785" spans="1:4" x14ac:dyDescent="0.3">
      <c r="A785" t="s">
        <v>44</v>
      </c>
      <c r="D785" t="str">
        <f t="shared" si="12"/>
        <v xml:space="preserve">    Wall,                    !- Surface Type</v>
      </c>
    </row>
    <row r="786" spans="1:4" x14ac:dyDescent="0.3">
      <c r="A786" t="str">
        <f>A1048574</f>
        <v>Parede  Tijolo cerâmico 9x14x24 c/ argamassa int e ext</v>
      </c>
      <c r="B786" t="s">
        <v>428</v>
      </c>
      <c r="D786" t="str">
        <f t="shared" si="12"/>
        <v>Parede  Tijolo cerâmico 9x14x24 c/ argamassa int e ext             ,  !- Construction Name</v>
      </c>
    </row>
    <row r="787" spans="1:4" x14ac:dyDescent="0.3">
      <c r="A787" t="s">
        <v>198</v>
      </c>
      <c r="D787" t="str">
        <f t="shared" si="12"/>
        <v xml:space="preserve">    Telhado1,                !- Zone Name</v>
      </c>
    </row>
    <row r="788" spans="1:4" x14ac:dyDescent="0.3">
      <c r="A788" t="s">
        <v>46</v>
      </c>
      <c r="D788" t="str">
        <f t="shared" si="12"/>
        <v xml:space="preserve">    Surface,                 !- Outside Boundary Condition</v>
      </c>
    </row>
    <row r="789" spans="1:4" x14ac:dyDescent="0.3">
      <c r="A789" t="s">
        <v>205</v>
      </c>
      <c r="D789" t="str">
        <f t="shared" si="12"/>
        <v xml:space="preserve">    ParedeIntTelhado2Telhado1,  !- Outside Boundary Condition Object</v>
      </c>
    </row>
    <row r="790" spans="1:4" x14ac:dyDescent="0.3">
      <c r="A790" t="s">
        <v>48</v>
      </c>
      <c r="D790" t="str">
        <f t="shared" si="12"/>
        <v xml:space="preserve">    NoSun,                   !- Sun Exposure</v>
      </c>
    </row>
    <row r="791" spans="1:4" x14ac:dyDescent="0.3">
      <c r="A791" t="s">
        <v>49</v>
      </c>
      <c r="D791" t="str">
        <f t="shared" si="12"/>
        <v xml:space="preserve">    NoWind,                  !- Wind Exposure</v>
      </c>
    </row>
    <row r="792" spans="1:4" x14ac:dyDescent="0.3">
      <c r="A792" t="s">
        <v>50</v>
      </c>
      <c r="D792" t="str">
        <f t="shared" si="12"/>
        <v xml:space="preserve">    ,                        !- View Factor to Ground</v>
      </c>
    </row>
    <row r="793" spans="1:4" x14ac:dyDescent="0.3">
      <c r="A793" t="s">
        <v>51</v>
      </c>
      <c r="D793" t="str">
        <f t="shared" si="12"/>
        <v xml:space="preserve">    ,                        !- Number of Vertices</v>
      </c>
    </row>
    <row r="794" spans="1:4" x14ac:dyDescent="0.3">
      <c r="A794" t="s">
        <v>201</v>
      </c>
      <c r="D794" t="str">
        <f t="shared" si="12"/>
        <v xml:space="preserve">    3.295,                   !- Vertex 1 X-coordinate {m}</v>
      </c>
    </row>
    <row r="795" spans="1:4" x14ac:dyDescent="0.3">
      <c r="A795" t="s">
        <v>75</v>
      </c>
      <c r="D795" t="str">
        <f t="shared" si="12"/>
        <v xml:space="preserve">    0,                       !- Vertex 1 Y-coordinate {m}</v>
      </c>
    </row>
    <row r="796" spans="1:4" x14ac:dyDescent="0.3">
      <c r="A796" t="s">
        <v>206</v>
      </c>
      <c r="D796" t="str">
        <f t="shared" si="12"/>
        <v xml:space="preserve">    1.4,                     !- Vertex 1 Z-coordinate {m}</v>
      </c>
    </row>
    <row r="797" spans="1:4" x14ac:dyDescent="0.3">
      <c r="A797" t="s">
        <v>202</v>
      </c>
      <c r="D797" t="str">
        <f t="shared" si="12"/>
        <v xml:space="preserve">    3.295,                   !- Vertex 2 X-coordinate {m}</v>
      </c>
    </row>
    <row r="798" spans="1:4" x14ac:dyDescent="0.3">
      <c r="A798" t="s">
        <v>76</v>
      </c>
      <c r="D798" t="str">
        <f t="shared" si="12"/>
        <v xml:space="preserve">    0,                       !- Vertex 2 Y-coordinate {m}</v>
      </c>
    </row>
    <row r="799" spans="1:4" x14ac:dyDescent="0.3">
      <c r="A799" t="s">
        <v>203</v>
      </c>
      <c r="D799" t="str">
        <f t="shared" si="12"/>
        <v xml:space="preserve">    3.60955709766131e-016,   !- Vertex 2 Z-coordinate {m}</v>
      </c>
    </row>
    <row r="800" spans="1:4" x14ac:dyDescent="0.3">
      <c r="A800" t="s">
        <v>119</v>
      </c>
      <c r="D800" t="str">
        <f t="shared" si="12"/>
        <v xml:space="preserve">    3.295,                   !- Vertex 3 X-coordinate {m}</v>
      </c>
    </row>
    <row r="801" spans="1:4" x14ac:dyDescent="0.3">
      <c r="A801" t="s">
        <v>68</v>
      </c>
      <c r="D801" t="str">
        <f t="shared" si="12"/>
        <v xml:space="preserve">    6.73,                    !- Vertex 3 Y-coordinate {m}</v>
      </c>
    </row>
    <row r="802" spans="1:4" x14ac:dyDescent="0.3">
      <c r="A802" t="s">
        <v>60</v>
      </c>
      <c r="D802" t="str">
        <f t="shared" si="12"/>
        <v xml:space="preserve">    0,                       !- Vertex 3 Z-coordinate {m}</v>
      </c>
    </row>
    <row r="803" spans="1:4" x14ac:dyDescent="0.3">
      <c r="A803" t="s">
        <v>121</v>
      </c>
      <c r="D803" t="str">
        <f t="shared" si="12"/>
        <v xml:space="preserve">    3.295,                   !- Vertex 4 X-coordinate {m}</v>
      </c>
    </row>
    <row r="804" spans="1:4" x14ac:dyDescent="0.3">
      <c r="A804" t="s">
        <v>69</v>
      </c>
      <c r="D804" t="str">
        <f t="shared" si="12"/>
        <v xml:space="preserve">    6.73,                    !- Vertex 4 Y-coordinate {m}</v>
      </c>
    </row>
    <row r="805" spans="1:4" x14ac:dyDescent="0.3">
      <c r="A805" t="s">
        <v>207</v>
      </c>
      <c r="D805" t="str">
        <f t="shared" si="12"/>
        <v xml:space="preserve">    1.4;                     !- Vertex 4 Z-coordinate {m}</v>
      </c>
    </row>
    <row r="806" spans="1:4" x14ac:dyDescent="0.3">
      <c r="D806" t="str">
        <f t="shared" si="12"/>
        <v/>
      </c>
    </row>
    <row r="807" spans="1:4" x14ac:dyDescent="0.3">
      <c r="A807" t="s">
        <v>42</v>
      </c>
      <c r="D807" t="str">
        <f t="shared" si="12"/>
        <v>BuildingSurface:Detailed,</v>
      </c>
    </row>
    <row r="808" spans="1:4" x14ac:dyDescent="0.3">
      <c r="A808" t="s">
        <v>208</v>
      </c>
      <c r="D808" t="str">
        <f t="shared" si="12"/>
        <v xml:space="preserve">    ParedeTelhado1Norte,     !- Name</v>
      </c>
    </row>
    <row r="809" spans="1:4" x14ac:dyDescent="0.3">
      <c r="A809" t="s">
        <v>44</v>
      </c>
      <c r="D809" t="str">
        <f t="shared" si="12"/>
        <v xml:space="preserve">    Wall,                    !- Surface Type</v>
      </c>
    </row>
    <row r="810" spans="1:4" x14ac:dyDescent="0.3">
      <c r="A810" t="str">
        <f>A1048574</f>
        <v>Parede  Tijolo cerâmico 9x14x24 c/ argamassa int e ext</v>
      </c>
      <c r="B810" t="s">
        <v>428</v>
      </c>
      <c r="D810" t="str">
        <f t="shared" si="12"/>
        <v>Parede  Tijolo cerâmico 9x14x24 c/ argamassa int e ext             ,  !- Construction Name</v>
      </c>
    </row>
    <row r="811" spans="1:4" x14ac:dyDescent="0.3">
      <c r="A811" t="s">
        <v>198</v>
      </c>
      <c r="D811" t="str">
        <f t="shared" si="12"/>
        <v xml:space="preserve">    Telhado1,                !- Zone Name</v>
      </c>
    </row>
    <row r="812" spans="1:4" x14ac:dyDescent="0.3">
      <c r="A812" t="s">
        <v>71</v>
      </c>
      <c r="D812" t="str">
        <f t="shared" si="12"/>
        <v xml:space="preserve">    Outdoors,                !- Outside Boundary Condition</v>
      </c>
    </row>
    <row r="813" spans="1:4" x14ac:dyDescent="0.3">
      <c r="A813" t="s">
        <v>72</v>
      </c>
      <c r="D813" t="str">
        <f t="shared" si="12"/>
        <v xml:space="preserve">    ,                        !- Outside Boundary Condition Object</v>
      </c>
    </row>
    <row r="814" spans="1:4" x14ac:dyDescent="0.3">
      <c r="A814" t="s">
        <v>73</v>
      </c>
      <c r="D814" t="str">
        <f t="shared" si="12"/>
        <v xml:space="preserve">    SunExposed,              !- Sun Exposure</v>
      </c>
    </row>
    <row r="815" spans="1:4" x14ac:dyDescent="0.3">
      <c r="A815" t="s">
        <v>74</v>
      </c>
      <c r="D815" t="str">
        <f t="shared" si="12"/>
        <v xml:space="preserve">    WindExposed,             !- Wind Exposure</v>
      </c>
    </row>
    <row r="816" spans="1:4" x14ac:dyDescent="0.3">
      <c r="A816" t="s">
        <v>50</v>
      </c>
      <c r="D816" t="str">
        <f t="shared" si="12"/>
        <v xml:space="preserve">    ,                        !- View Factor to Ground</v>
      </c>
    </row>
    <row r="817" spans="1:4" x14ac:dyDescent="0.3">
      <c r="A817" t="s">
        <v>51</v>
      </c>
      <c r="D817" t="str">
        <f t="shared" si="12"/>
        <v xml:space="preserve">    ,                        !- Number of Vertices</v>
      </c>
    </row>
    <row r="818" spans="1:4" x14ac:dyDescent="0.3">
      <c r="A818" t="s">
        <v>201</v>
      </c>
      <c r="D818" t="str">
        <f t="shared" si="12"/>
        <v xml:space="preserve">    3.295,                   !- Vertex 1 X-coordinate {m}</v>
      </c>
    </row>
    <row r="819" spans="1:4" x14ac:dyDescent="0.3">
      <c r="A819" t="s">
        <v>80</v>
      </c>
      <c r="D819" t="str">
        <f t="shared" si="12"/>
        <v xml:space="preserve">    6.73,                    !- Vertex 1 Y-coordinate {m}</v>
      </c>
    </row>
    <row r="820" spans="1:4" x14ac:dyDescent="0.3">
      <c r="A820" t="s">
        <v>206</v>
      </c>
      <c r="D820" t="str">
        <f t="shared" si="12"/>
        <v xml:space="preserve">    1.4,                     !- Vertex 1 Z-coordinate {m}</v>
      </c>
    </row>
    <row r="821" spans="1:4" x14ac:dyDescent="0.3">
      <c r="A821" t="s">
        <v>202</v>
      </c>
      <c r="D821" t="str">
        <f t="shared" si="12"/>
        <v xml:space="preserve">    3.295,                   !- Vertex 2 X-coordinate {m}</v>
      </c>
    </row>
    <row r="822" spans="1:4" x14ac:dyDescent="0.3">
      <c r="A822" t="s">
        <v>81</v>
      </c>
      <c r="D822" t="str">
        <f t="shared" si="12"/>
        <v xml:space="preserve">    6.73,                    !- Vertex 2 Y-coordinate {m}</v>
      </c>
    </row>
    <row r="823" spans="1:4" x14ac:dyDescent="0.3">
      <c r="A823" t="s">
        <v>57</v>
      </c>
      <c r="D823" t="str">
        <f t="shared" si="12"/>
        <v xml:space="preserve">    0,                       !- Vertex 2 Z-coordinate {m}</v>
      </c>
    </row>
    <row r="824" spans="1:4" x14ac:dyDescent="0.3">
      <c r="A824" t="s">
        <v>89</v>
      </c>
      <c r="D824" t="str">
        <f t="shared" si="12"/>
        <v xml:space="preserve">    0,                       !- Vertex 3 X-coordinate {m}</v>
      </c>
    </row>
    <row r="825" spans="1:4" x14ac:dyDescent="0.3">
      <c r="A825" t="s">
        <v>68</v>
      </c>
      <c r="D825" t="str">
        <f t="shared" si="12"/>
        <v xml:space="preserve">    6.73,                    !- Vertex 3 Y-coordinate {m}</v>
      </c>
    </row>
    <row r="826" spans="1:4" x14ac:dyDescent="0.3">
      <c r="A826" t="s">
        <v>209</v>
      </c>
      <c r="D826" t="str">
        <f t="shared" si="12"/>
        <v xml:space="preserve">    0;                       !- Vertex 3 Z-coordinate {m}</v>
      </c>
    </row>
    <row r="827" spans="1:4" x14ac:dyDescent="0.3">
      <c r="D827" t="str">
        <f t="shared" si="12"/>
        <v/>
      </c>
    </row>
    <row r="828" spans="1:4" x14ac:dyDescent="0.3">
      <c r="A828" t="s">
        <v>42</v>
      </c>
      <c r="D828" t="str">
        <f t="shared" si="12"/>
        <v>BuildingSurface:Detailed,</v>
      </c>
    </row>
    <row r="829" spans="1:4" x14ac:dyDescent="0.3">
      <c r="A829" t="s">
        <v>210</v>
      </c>
      <c r="D829" t="str">
        <f t="shared" si="12"/>
        <v xml:space="preserve">    ParedeTelhado1Sul,       !- Name</v>
      </c>
    </row>
    <row r="830" spans="1:4" x14ac:dyDescent="0.3">
      <c r="A830" t="s">
        <v>44</v>
      </c>
      <c r="D830" t="str">
        <f t="shared" si="12"/>
        <v xml:space="preserve">    Wall,                    !- Surface Type</v>
      </c>
    </row>
    <row r="831" spans="1:4" x14ac:dyDescent="0.3">
      <c r="A831" t="str">
        <f>A1048574</f>
        <v>Parede  Tijolo cerâmico 9x14x24 c/ argamassa int e ext</v>
      </c>
      <c r="B831" t="s">
        <v>428</v>
      </c>
      <c r="D831" t="str">
        <f t="shared" si="12"/>
        <v>Parede  Tijolo cerâmico 9x14x24 c/ argamassa int e ext             ,  !- Construction Name</v>
      </c>
    </row>
    <row r="832" spans="1:4" x14ac:dyDescent="0.3">
      <c r="A832" t="s">
        <v>198</v>
      </c>
      <c r="D832" t="str">
        <f t="shared" si="12"/>
        <v xml:space="preserve">    Telhado1,                !- Zone Name</v>
      </c>
    </row>
    <row r="833" spans="1:4" x14ac:dyDescent="0.3">
      <c r="A833" t="s">
        <v>71</v>
      </c>
      <c r="D833" t="str">
        <f t="shared" si="12"/>
        <v xml:space="preserve">    Outdoors,                !- Outside Boundary Condition</v>
      </c>
    </row>
    <row r="834" spans="1:4" x14ac:dyDescent="0.3">
      <c r="A834" t="s">
        <v>72</v>
      </c>
      <c r="D834" t="str">
        <f t="shared" ref="D834:D897" si="13">CONCATENATE(A834,B834)</f>
        <v xml:space="preserve">    ,                        !- Outside Boundary Condition Object</v>
      </c>
    </row>
    <row r="835" spans="1:4" x14ac:dyDescent="0.3">
      <c r="A835" t="s">
        <v>73</v>
      </c>
      <c r="D835" t="str">
        <f t="shared" si="13"/>
        <v xml:space="preserve">    SunExposed,              !- Sun Exposure</v>
      </c>
    </row>
    <row r="836" spans="1:4" x14ac:dyDescent="0.3">
      <c r="A836" t="s">
        <v>74</v>
      </c>
      <c r="D836" t="str">
        <f t="shared" si="13"/>
        <v xml:space="preserve">    WindExposed,             !- Wind Exposure</v>
      </c>
    </row>
    <row r="837" spans="1:4" x14ac:dyDescent="0.3">
      <c r="A837" t="s">
        <v>50</v>
      </c>
      <c r="D837" t="str">
        <f t="shared" si="13"/>
        <v xml:space="preserve">    ,                        !- View Factor to Ground</v>
      </c>
    </row>
    <row r="838" spans="1:4" x14ac:dyDescent="0.3">
      <c r="A838" t="s">
        <v>51</v>
      </c>
      <c r="D838" t="str">
        <f t="shared" si="13"/>
        <v xml:space="preserve">    ,                        !- Number of Vertices</v>
      </c>
    </row>
    <row r="839" spans="1:4" x14ac:dyDescent="0.3">
      <c r="A839" t="s">
        <v>201</v>
      </c>
      <c r="D839" t="str">
        <f t="shared" si="13"/>
        <v xml:space="preserve">    3.295,                   !- Vertex 1 X-coordinate {m}</v>
      </c>
    </row>
    <row r="840" spans="1:4" x14ac:dyDescent="0.3">
      <c r="A840" t="s">
        <v>75</v>
      </c>
      <c r="D840" t="str">
        <f t="shared" si="13"/>
        <v xml:space="preserve">    0,                       !- Vertex 1 Y-coordinate {m}</v>
      </c>
    </row>
    <row r="841" spans="1:4" x14ac:dyDescent="0.3">
      <c r="A841" t="s">
        <v>206</v>
      </c>
      <c r="D841" t="str">
        <f t="shared" si="13"/>
        <v xml:space="preserve">    1.4,                     !- Vertex 1 Z-coordinate {m}</v>
      </c>
    </row>
    <row r="842" spans="1:4" x14ac:dyDescent="0.3">
      <c r="A842" t="s">
        <v>87</v>
      </c>
      <c r="D842" t="str">
        <f t="shared" si="13"/>
        <v xml:space="preserve">    0,                       !- Vertex 2 X-coordinate {m}</v>
      </c>
    </row>
    <row r="843" spans="1:4" x14ac:dyDescent="0.3">
      <c r="A843" t="s">
        <v>76</v>
      </c>
      <c r="D843" t="str">
        <f t="shared" si="13"/>
        <v xml:space="preserve">    0,                       !- Vertex 2 Y-coordinate {m}</v>
      </c>
    </row>
    <row r="844" spans="1:4" x14ac:dyDescent="0.3">
      <c r="A844" t="s">
        <v>57</v>
      </c>
      <c r="D844" t="str">
        <f t="shared" si="13"/>
        <v xml:space="preserve">    0,                       !- Vertex 2 Z-coordinate {m}</v>
      </c>
    </row>
    <row r="845" spans="1:4" x14ac:dyDescent="0.3">
      <c r="A845" t="s">
        <v>119</v>
      </c>
      <c r="D845" t="str">
        <f t="shared" si="13"/>
        <v xml:space="preserve">    3.295,                   !- Vertex 3 X-coordinate {m}</v>
      </c>
    </row>
    <row r="846" spans="1:4" x14ac:dyDescent="0.3">
      <c r="A846" t="s">
        <v>90</v>
      </c>
      <c r="D846" t="str">
        <f t="shared" si="13"/>
        <v xml:space="preserve">    0,                       !- Vertex 3 Y-coordinate {m}</v>
      </c>
    </row>
    <row r="847" spans="1:4" x14ac:dyDescent="0.3">
      <c r="A847" t="s">
        <v>211</v>
      </c>
      <c r="D847" t="str">
        <f t="shared" si="13"/>
        <v xml:space="preserve">    3.60955709766131e-016;   !- Vertex 3 Z-coordinate {m}</v>
      </c>
    </row>
    <row r="848" spans="1:4" x14ac:dyDescent="0.3">
      <c r="D848" t="str">
        <f t="shared" si="13"/>
        <v/>
      </c>
    </row>
    <row r="849" spans="1:4" x14ac:dyDescent="0.3">
      <c r="A849" t="s">
        <v>42</v>
      </c>
      <c r="D849" t="str">
        <f t="shared" si="13"/>
        <v>BuildingSurface:Detailed,</v>
      </c>
    </row>
    <row r="850" spans="1:4" x14ac:dyDescent="0.3">
      <c r="A850" t="s">
        <v>212</v>
      </c>
      <c r="D850" t="str">
        <f t="shared" si="13"/>
        <v xml:space="preserve">    Telha1,                  !- Name</v>
      </c>
    </row>
    <row r="851" spans="1:4" x14ac:dyDescent="0.3">
      <c r="A851" t="s">
        <v>213</v>
      </c>
      <c r="D851" t="str">
        <f t="shared" si="13"/>
        <v xml:space="preserve">    Roof,                    !- Surface Type</v>
      </c>
    </row>
    <row r="852" spans="1:4" x14ac:dyDescent="0.3">
      <c r="A852" t="str">
        <f>D1048574</f>
        <v>Telha ceramica</v>
      </c>
      <c r="B852" t="s">
        <v>422</v>
      </c>
      <c r="D852" t="str">
        <f t="shared" si="13"/>
        <v>Telha ceramica,!- Construction Name</v>
      </c>
    </row>
    <row r="853" spans="1:4" x14ac:dyDescent="0.3">
      <c r="A853" t="s">
        <v>198</v>
      </c>
      <c r="D853" t="str">
        <f t="shared" si="13"/>
        <v xml:space="preserve">    Telhado1,                !- Zone Name</v>
      </c>
    </row>
    <row r="854" spans="1:4" x14ac:dyDescent="0.3">
      <c r="A854" t="s">
        <v>71</v>
      </c>
      <c r="D854" t="str">
        <f t="shared" si="13"/>
        <v xml:space="preserve">    Outdoors,                !- Outside Boundary Condition</v>
      </c>
    </row>
    <row r="855" spans="1:4" x14ac:dyDescent="0.3">
      <c r="A855" t="s">
        <v>72</v>
      </c>
      <c r="D855" t="str">
        <f t="shared" si="13"/>
        <v xml:space="preserve">    ,                        !- Outside Boundary Condition Object</v>
      </c>
    </row>
    <row r="856" spans="1:4" x14ac:dyDescent="0.3">
      <c r="A856" t="s">
        <v>73</v>
      </c>
      <c r="D856" t="str">
        <f t="shared" si="13"/>
        <v xml:space="preserve">    SunExposed,              !- Sun Exposure</v>
      </c>
    </row>
    <row r="857" spans="1:4" x14ac:dyDescent="0.3">
      <c r="A857" t="s">
        <v>74</v>
      </c>
      <c r="D857" t="str">
        <f t="shared" si="13"/>
        <v xml:space="preserve">    WindExposed,             !- Wind Exposure</v>
      </c>
    </row>
    <row r="858" spans="1:4" x14ac:dyDescent="0.3">
      <c r="A858" t="s">
        <v>50</v>
      </c>
      <c r="D858" t="str">
        <f t="shared" si="13"/>
        <v xml:space="preserve">    ,                        !- View Factor to Ground</v>
      </c>
    </row>
    <row r="859" spans="1:4" x14ac:dyDescent="0.3">
      <c r="A859" t="s">
        <v>51</v>
      </c>
      <c r="D859" t="str">
        <f t="shared" si="13"/>
        <v xml:space="preserve">    ,                        !- Number of Vertices</v>
      </c>
    </row>
    <row r="860" spans="1:4" x14ac:dyDescent="0.3">
      <c r="A860" t="s">
        <v>201</v>
      </c>
      <c r="D860" t="str">
        <f t="shared" si="13"/>
        <v xml:space="preserve">    3.295,                   !- Vertex 1 X-coordinate {m}</v>
      </c>
    </row>
    <row r="861" spans="1:4" x14ac:dyDescent="0.3">
      <c r="A861" t="s">
        <v>80</v>
      </c>
      <c r="D861" t="str">
        <f t="shared" si="13"/>
        <v xml:space="preserve">    6.73,                    !- Vertex 1 Y-coordinate {m}</v>
      </c>
    </row>
    <row r="862" spans="1:4" x14ac:dyDescent="0.3">
      <c r="A862" t="s">
        <v>206</v>
      </c>
      <c r="D862" t="str">
        <f t="shared" si="13"/>
        <v xml:space="preserve">    1.4,                     !- Vertex 1 Z-coordinate {m}</v>
      </c>
    </row>
    <row r="863" spans="1:4" x14ac:dyDescent="0.3">
      <c r="A863" t="s">
        <v>87</v>
      </c>
      <c r="D863" t="str">
        <f t="shared" si="13"/>
        <v xml:space="preserve">    0,                       !- Vertex 2 X-coordinate {m}</v>
      </c>
    </row>
    <row r="864" spans="1:4" x14ac:dyDescent="0.3">
      <c r="A864" t="s">
        <v>81</v>
      </c>
      <c r="D864" t="str">
        <f t="shared" si="13"/>
        <v xml:space="preserve">    6.73,                    !- Vertex 2 Y-coordinate {m}</v>
      </c>
    </row>
    <row r="865" spans="1:4" x14ac:dyDescent="0.3">
      <c r="A865" t="s">
        <v>57</v>
      </c>
      <c r="D865" t="str">
        <f t="shared" si="13"/>
        <v xml:space="preserve">    0,                       !- Vertex 2 Z-coordinate {m}</v>
      </c>
    </row>
    <row r="866" spans="1:4" x14ac:dyDescent="0.3">
      <c r="A866" t="s">
        <v>89</v>
      </c>
      <c r="D866" t="str">
        <f t="shared" si="13"/>
        <v xml:space="preserve">    0,                       !- Vertex 3 X-coordinate {m}</v>
      </c>
    </row>
    <row r="867" spans="1:4" x14ac:dyDescent="0.3">
      <c r="A867" t="s">
        <v>90</v>
      </c>
      <c r="D867" t="str">
        <f t="shared" si="13"/>
        <v xml:space="preserve">    0,                       !- Vertex 3 Y-coordinate {m}</v>
      </c>
    </row>
    <row r="868" spans="1:4" x14ac:dyDescent="0.3">
      <c r="A868" t="s">
        <v>60</v>
      </c>
      <c r="D868" t="str">
        <f t="shared" si="13"/>
        <v xml:space="preserve">    0,                       !- Vertex 3 Z-coordinate {m}</v>
      </c>
    </row>
    <row r="869" spans="1:4" x14ac:dyDescent="0.3">
      <c r="A869" t="s">
        <v>121</v>
      </c>
      <c r="D869" t="str">
        <f t="shared" si="13"/>
        <v xml:space="preserve">    3.295,                   !- Vertex 4 X-coordinate {m}</v>
      </c>
    </row>
    <row r="870" spans="1:4" x14ac:dyDescent="0.3">
      <c r="A870" t="s">
        <v>92</v>
      </c>
      <c r="D870" t="str">
        <f t="shared" si="13"/>
        <v xml:space="preserve">    0,                       !- Vertex 4 Y-coordinate {m}</v>
      </c>
    </row>
    <row r="871" spans="1:4" x14ac:dyDescent="0.3">
      <c r="A871" t="s">
        <v>207</v>
      </c>
      <c r="D871" t="str">
        <f t="shared" si="13"/>
        <v xml:space="preserve">    1.4;                     !- Vertex 4 Z-coordinate {m}</v>
      </c>
    </row>
    <row r="872" spans="1:4" x14ac:dyDescent="0.3">
      <c r="D872" t="str">
        <f t="shared" si="13"/>
        <v/>
      </c>
    </row>
    <row r="873" spans="1:4" x14ac:dyDescent="0.3">
      <c r="A873" t="s">
        <v>42</v>
      </c>
      <c r="D873" t="str">
        <f t="shared" si="13"/>
        <v>BuildingSurface:Detailed,</v>
      </c>
    </row>
    <row r="874" spans="1:4" x14ac:dyDescent="0.3">
      <c r="A874" t="s">
        <v>214</v>
      </c>
      <c r="D874" t="str">
        <f t="shared" si="13"/>
        <v xml:space="preserve">    ForroQuarto1,            !- Name</v>
      </c>
    </row>
    <row r="875" spans="1:4" x14ac:dyDescent="0.3">
      <c r="A875" t="s">
        <v>104</v>
      </c>
      <c r="D875" t="str">
        <f t="shared" si="13"/>
        <v xml:space="preserve">    Floor,                   !- Surface Type</v>
      </c>
    </row>
    <row r="876" spans="1:4" x14ac:dyDescent="0.3">
      <c r="A876" t="str">
        <f>B1048574</f>
        <v>Forro PVC</v>
      </c>
      <c r="B876" t="s">
        <v>427</v>
      </c>
      <c r="D876" t="str">
        <f t="shared" si="13"/>
        <v>Forro PVC,               !- Construction Name</v>
      </c>
    </row>
    <row r="877" spans="1:4" x14ac:dyDescent="0.3">
      <c r="A877" t="s">
        <v>215</v>
      </c>
      <c r="D877" t="str">
        <f t="shared" si="13"/>
        <v xml:space="preserve">    Telhado3,                !- Zone Name</v>
      </c>
    </row>
    <row r="878" spans="1:4" x14ac:dyDescent="0.3">
      <c r="A878" t="s">
        <v>46</v>
      </c>
      <c r="D878" t="str">
        <f t="shared" si="13"/>
        <v xml:space="preserve">    Surface,                 !- Outside Boundary Condition</v>
      </c>
    </row>
    <row r="879" spans="1:4" x14ac:dyDescent="0.3">
      <c r="A879" t="s">
        <v>216</v>
      </c>
      <c r="D879" t="str">
        <f t="shared" si="13"/>
        <v xml:space="preserve">    Surface 16,              !- Outside Boundary Condition Object</v>
      </c>
    </row>
    <row r="880" spans="1:4" x14ac:dyDescent="0.3">
      <c r="A880" t="s">
        <v>48</v>
      </c>
      <c r="D880" t="str">
        <f t="shared" si="13"/>
        <v xml:space="preserve">    NoSun,                   !- Sun Exposure</v>
      </c>
    </row>
    <row r="881" spans="1:4" x14ac:dyDescent="0.3">
      <c r="A881" t="s">
        <v>49</v>
      </c>
      <c r="D881" t="str">
        <f t="shared" si="13"/>
        <v xml:space="preserve">    NoWind,                  !- Wind Exposure</v>
      </c>
    </row>
    <row r="882" spans="1:4" x14ac:dyDescent="0.3">
      <c r="A882" t="s">
        <v>50</v>
      </c>
      <c r="D882" t="str">
        <f t="shared" si="13"/>
        <v xml:space="preserve">    ,                        !- View Factor to Ground</v>
      </c>
    </row>
    <row r="883" spans="1:4" x14ac:dyDescent="0.3">
      <c r="A883" t="s">
        <v>51</v>
      </c>
      <c r="D883" t="str">
        <f t="shared" si="13"/>
        <v xml:space="preserve">    ,                        !- Number of Vertices</v>
      </c>
    </row>
    <row r="884" spans="1:4" x14ac:dyDescent="0.3">
      <c r="A884" t="s">
        <v>125</v>
      </c>
      <c r="D884" t="str">
        <f t="shared" si="13"/>
        <v xml:space="preserve">    2.71999999999999,        !- Vertex 1 X-coordinate {m}</v>
      </c>
    </row>
    <row r="885" spans="1:4" x14ac:dyDescent="0.3">
      <c r="A885" t="s">
        <v>126</v>
      </c>
      <c r="D885" t="str">
        <f t="shared" si="13"/>
        <v xml:space="preserve">    2.95328087937421,        !- Vertex 1 Y-coordinate {m}</v>
      </c>
    </row>
    <row r="886" spans="1:4" x14ac:dyDescent="0.3">
      <c r="A886" t="s">
        <v>217</v>
      </c>
      <c r="D886" t="str">
        <f t="shared" si="13"/>
        <v xml:space="preserve">    2.29190243740329e-016,   !- Vertex 1 Z-coordinate {m}</v>
      </c>
    </row>
    <row r="887" spans="1:4" x14ac:dyDescent="0.3">
      <c r="A887" t="s">
        <v>127</v>
      </c>
      <c r="D887" t="str">
        <f t="shared" si="13"/>
        <v xml:space="preserve">    2.71999999999999,        !- Vertex 2 X-coordinate {m}</v>
      </c>
    </row>
    <row r="888" spans="1:4" x14ac:dyDescent="0.3">
      <c r="A888" t="s">
        <v>141</v>
      </c>
      <c r="D888" t="str">
        <f t="shared" si="13"/>
        <v xml:space="preserve">    3.97051280742744e-015,   !- Vertex 2 Y-coordinate {m}</v>
      </c>
    </row>
    <row r="889" spans="1:4" x14ac:dyDescent="0.3">
      <c r="A889" t="s">
        <v>218</v>
      </c>
      <c r="D889" t="str">
        <f t="shared" si="13"/>
        <v xml:space="preserve">    5.07092876337922e-016,   !- Vertex 2 Z-coordinate {m}</v>
      </c>
    </row>
    <row r="890" spans="1:4" x14ac:dyDescent="0.3">
      <c r="A890" t="s">
        <v>219</v>
      </c>
      <c r="D890" t="str">
        <f t="shared" si="13"/>
        <v xml:space="preserve">    -4.15099066231051e-015,  !- Vertex 3 X-coordinate {m}</v>
      </c>
    </row>
    <row r="891" spans="1:4" x14ac:dyDescent="0.3">
      <c r="A891" t="s">
        <v>137</v>
      </c>
      <c r="D891" t="str">
        <f t="shared" si="13"/>
        <v xml:space="preserve">    3.97051280742744e-015,   !- Vertex 3 Y-coordinate {m}</v>
      </c>
    </row>
    <row r="892" spans="1:4" x14ac:dyDescent="0.3">
      <c r="A892" t="s">
        <v>220</v>
      </c>
      <c r="D892" t="str">
        <f t="shared" si="13"/>
        <v xml:space="preserve">    4.87123888572633e-017,   !- Vertex 3 Z-coordinate {m}</v>
      </c>
    </row>
    <row r="893" spans="1:4" x14ac:dyDescent="0.3">
      <c r="A893" t="s">
        <v>221</v>
      </c>
      <c r="D893" t="str">
        <f t="shared" si="13"/>
        <v xml:space="preserve">    3.21593091018845e-032,   !- Vertex 4 X-coordinate {m}</v>
      </c>
    </row>
    <row r="894" spans="1:4" x14ac:dyDescent="0.3">
      <c r="A894" t="s">
        <v>132</v>
      </c>
      <c r="D894" t="str">
        <f t="shared" si="13"/>
        <v xml:space="preserve">    2.95328087937421,        !- Vertex 4 Y-coordinate {m}</v>
      </c>
    </row>
    <row r="895" spans="1:4" x14ac:dyDescent="0.3">
      <c r="A895" t="s">
        <v>222</v>
      </c>
      <c r="D895" t="str">
        <f t="shared" si="13"/>
        <v xml:space="preserve">    -2.29190243740328e-016;  !- Vertex 4 Z-coordinate {m}</v>
      </c>
    </row>
    <row r="896" spans="1:4" x14ac:dyDescent="0.3">
      <c r="D896" t="str">
        <f t="shared" si="13"/>
        <v/>
      </c>
    </row>
    <row r="897" spans="1:4" x14ac:dyDescent="0.3">
      <c r="A897" t="s">
        <v>42</v>
      </c>
      <c r="D897" t="str">
        <f t="shared" si="13"/>
        <v>BuildingSurface:Detailed,</v>
      </c>
    </row>
    <row r="898" spans="1:4" x14ac:dyDescent="0.3">
      <c r="A898" t="s">
        <v>223</v>
      </c>
      <c r="D898" t="str">
        <f t="shared" ref="D898:D961" si="14">CONCATENATE(A898,B898)</f>
        <v xml:space="preserve">    ForroQuarto2,            !- Name</v>
      </c>
    </row>
    <row r="899" spans="1:4" x14ac:dyDescent="0.3">
      <c r="A899" t="s">
        <v>104</v>
      </c>
      <c r="D899" t="str">
        <f t="shared" si="14"/>
        <v xml:space="preserve">    Floor,                   !- Surface Type</v>
      </c>
    </row>
    <row r="900" spans="1:4" x14ac:dyDescent="0.3">
      <c r="A900" t="str">
        <f>B1048574</f>
        <v>Forro PVC</v>
      </c>
      <c r="B900" t="s">
        <v>427</v>
      </c>
      <c r="D900" t="str">
        <f t="shared" si="14"/>
        <v>Forro PVC,               !- Construction Name</v>
      </c>
    </row>
    <row r="901" spans="1:4" x14ac:dyDescent="0.3">
      <c r="A901" t="s">
        <v>215</v>
      </c>
      <c r="D901" t="str">
        <f t="shared" si="14"/>
        <v xml:space="preserve">    Telhado3,                !- Zone Name</v>
      </c>
    </row>
    <row r="902" spans="1:4" x14ac:dyDescent="0.3">
      <c r="A902" t="s">
        <v>46</v>
      </c>
      <c r="D902" t="str">
        <f t="shared" si="14"/>
        <v xml:space="preserve">    Surface,                 !- Outside Boundary Condition</v>
      </c>
    </row>
    <row r="903" spans="1:4" x14ac:dyDescent="0.3">
      <c r="A903" t="s">
        <v>224</v>
      </c>
      <c r="D903" t="str">
        <f t="shared" si="14"/>
        <v xml:space="preserve">    Surface 26,              !- Outside Boundary Condition Object</v>
      </c>
    </row>
    <row r="904" spans="1:4" x14ac:dyDescent="0.3">
      <c r="A904" t="s">
        <v>48</v>
      </c>
      <c r="D904" t="str">
        <f t="shared" si="14"/>
        <v xml:space="preserve">    NoSun,                   !- Sun Exposure</v>
      </c>
    </row>
    <row r="905" spans="1:4" x14ac:dyDescent="0.3">
      <c r="A905" t="s">
        <v>49</v>
      </c>
      <c r="D905" t="str">
        <f t="shared" si="14"/>
        <v xml:space="preserve">    NoWind,                  !- Wind Exposure</v>
      </c>
    </row>
    <row r="906" spans="1:4" x14ac:dyDescent="0.3">
      <c r="A906" t="s">
        <v>50</v>
      </c>
      <c r="D906" t="str">
        <f t="shared" si="14"/>
        <v xml:space="preserve">    ,                        !- View Factor to Ground</v>
      </c>
    </row>
    <row r="907" spans="1:4" x14ac:dyDescent="0.3">
      <c r="A907" t="s">
        <v>51</v>
      </c>
      <c r="D907" t="str">
        <f t="shared" si="14"/>
        <v xml:space="preserve">    ,                        !- Number of Vertices</v>
      </c>
    </row>
    <row r="908" spans="1:4" x14ac:dyDescent="0.3">
      <c r="A908" t="s">
        <v>125</v>
      </c>
      <c r="D908" t="str">
        <f t="shared" si="14"/>
        <v xml:space="preserve">    2.71999999999999,        !- Vertex 1 X-coordinate {m}</v>
      </c>
    </row>
    <row r="909" spans="1:4" x14ac:dyDescent="0.3">
      <c r="A909" t="s">
        <v>225</v>
      </c>
      <c r="D909" t="str">
        <f t="shared" si="14"/>
        <v xml:space="preserve">    6.24000000000003,        !- Vertex 1 Y-coordinate {m}</v>
      </c>
    </row>
    <row r="910" spans="1:4" x14ac:dyDescent="0.3">
      <c r="A910" t="s">
        <v>226</v>
      </c>
      <c r="D910" t="str">
        <f t="shared" si="14"/>
        <v xml:space="preserve">    5.41433564649197e-016,   !- Vertex 1 Z-coordinate {m}</v>
      </c>
    </row>
    <row r="911" spans="1:4" x14ac:dyDescent="0.3">
      <c r="A911" t="s">
        <v>127</v>
      </c>
      <c r="D911" t="str">
        <f t="shared" si="14"/>
        <v xml:space="preserve">    2.71999999999999,        !- Vertex 2 X-coordinate {m}</v>
      </c>
    </row>
    <row r="912" spans="1:4" x14ac:dyDescent="0.3">
      <c r="A912" t="s">
        <v>128</v>
      </c>
      <c r="D912" t="str">
        <f t="shared" si="14"/>
        <v xml:space="preserve">    2.95328087937421,        !- Vertex 2 Y-coordinate {m}</v>
      </c>
    </row>
    <row r="913" spans="1:4" x14ac:dyDescent="0.3">
      <c r="A913" t="s">
        <v>227</v>
      </c>
      <c r="D913" t="str">
        <f t="shared" si="14"/>
        <v xml:space="preserve">    1.80477854883066e-016,   !- Vertex 2 Z-coordinate {m}</v>
      </c>
    </row>
    <row r="914" spans="1:4" x14ac:dyDescent="0.3">
      <c r="A914" t="s">
        <v>228</v>
      </c>
      <c r="D914" t="str">
        <f t="shared" si="14"/>
        <v xml:space="preserve">    2.39501883111713e-032,   !- Vertex 3 X-coordinate {m}</v>
      </c>
    </row>
    <row r="915" spans="1:4" x14ac:dyDescent="0.3">
      <c r="A915" t="s">
        <v>130</v>
      </c>
      <c r="D915" t="str">
        <f t="shared" si="14"/>
        <v xml:space="preserve">    2.95328087937421,        !- Vertex 3 Y-coordinate {m}</v>
      </c>
    </row>
    <row r="916" spans="1:4" x14ac:dyDescent="0.3">
      <c r="A916" t="s">
        <v>229</v>
      </c>
      <c r="D916" t="str">
        <f t="shared" si="14"/>
        <v xml:space="preserve">    -1.80477854883065e-016,  !- Vertex 3 Z-coordinate {m}</v>
      </c>
    </row>
    <row r="917" spans="1:4" x14ac:dyDescent="0.3">
      <c r="A917" t="s">
        <v>131</v>
      </c>
      <c r="D917" t="str">
        <f t="shared" si="14"/>
        <v xml:space="preserve">    -4.33146851719357e-015,  !- Vertex 4 X-coordinate {m}</v>
      </c>
    </row>
    <row r="918" spans="1:4" x14ac:dyDescent="0.3">
      <c r="A918" t="s">
        <v>230</v>
      </c>
      <c r="D918" t="str">
        <f t="shared" si="14"/>
        <v xml:space="preserve">    6.24000000000003,        !- Vertex 4 Y-coordinate {m}</v>
      </c>
    </row>
    <row r="919" spans="1:4" x14ac:dyDescent="0.3">
      <c r="A919" t="s">
        <v>231</v>
      </c>
      <c r="D919" t="str">
        <f t="shared" si="14"/>
        <v xml:space="preserve">    1.80477854883065e-016;   !- Vertex 4 Z-coordinate {m}</v>
      </c>
    </row>
    <row r="920" spans="1:4" x14ac:dyDescent="0.3">
      <c r="D920" t="str">
        <f t="shared" si="14"/>
        <v/>
      </c>
    </row>
    <row r="921" spans="1:4" x14ac:dyDescent="0.3">
      <c r="A921" t="s">
        <v>42</v>
      </c>
      <c r="D921" t="str">
        <f t="shared" si="14"/>
        <v>BuildingSurface:Detailed,</v>
      </c>
    </row>
    <row r="922" spans="1:4" x14ac:dyDescent="0.3">
      <c r="A922" t="s">
        <v>232</v>
      </c>
      <c r="D922" t="str">
        <f t="shared" si="14"/>
        <v xml:space="preserve">    ParedeIntTelhado3Telhado2,  !- Name</v>
      </c>
    </row>
    <row r="923" spans="1:4" x14ac:dyDescent="0.3">
      <c r="A923" t="s">
        <v>44</v>
      </c>
      <c r="D923" t="str">
        <f t="shared" si="14"/>
        <v xml:space="preserve">    Wall,                    !- Surface Type</v>
      </c>
    </row>
    <row r="924" spans="1:4" x14ac:dyDescent="0.3">
      <c r="A924" t="str">
        <f>A1048574</f>
        <v>Parede  Tijolo cerâmico 9x14x24 c/ argamassa int e ext</v>
      </c>
      <c r="B924" t="s">
        <v>428</v>
      </c>
      <c r="D924" t="str">
        <f t="shared" si="14"/>
        <v>Parede  Tijolo cerâmico 9x14x24 c/ argamassa int e ext             ,  !- Construction Name</v>
      </c>
    </row>
    <row r="925" spans="1:4" x14ac:dyDescent="0.3">
      <c r="A925" t="s">
        <v>215</v>
      </c>
      <c r="D925" t="str">
        <f t="shared" si="14"/>
        <v xml:space="preserve">    Telhado3,                !- Zone Name</v>
      </c>
    </row>
    <row r="926" spans="1:4" x14ac:dyDescent="0.3">
      <c r="A926" t="s">
        <v>46</v>
      </c>
      <c r="D926" t="str">
        <f t="shared" si="14"/>
        <v xml:space="preserve">    Surface,                 !- Outside Boundary Condition</v>
      </c>
    </row>
    <row r="927" spans="1:4" x14ac:dyDescent="0.3">
      <c r="A927" t="s">
        <v>233</v>
      </c>
      <c r="D927" t="str">
        <f t="shared" si="14"/>
        <v xml:space="preserve">    ParedeIntTelhado2Telhado3,  !- Outside Boundary Condition Object</v>
      </c>
    </row>
    <row r="928" spans="1:4" x14ac:dyDescent="0.3">
      <c r="A928" t="s">
        <v>48</v>
      </c>
      <c r="D928" t="str">
        <f t="shared" si="14"/>
        <v xml:space="preserve">    NoSun,                   !- Sun Exposure</v>
      </c>
    </row>
    <row r="929" spans="1:4" x14ac:dyDescent="0.3">
      <c r="A929" t="s">
        <v>49</v>
      </c>
      <c r="D929" t="str">
        <f t="shared" si="14"/>
        <v xml:space="preserve">    NoWind,                  !- Wind Exposure</v>
      </c>
    </row>
    <row r="930" spans="1:4" x14ac:dyDescent="0.3">
      <c r="A930" t="s">
        <v>50</v>
      </c>
      <c r="D930" t="str">
        <f t="shared" si="14"/>
        <v xml:space="preserve">    ,                        !- View Factor to Ground</v>
      </c>
    </row>
    <row r="931" spans="1:4" x14ac:dyDescent="0.3">
      <c r="A931" t="s">
        <v>51</v>
      </c>
      <c r="D931" t="str">
        <f t="shared" si="14"/>
        <v xml:space="preserve">    ,                        !- Number of Vertices</v>
      </c>
    </row>
    <row r="932" spans="1:4" x14ac:dyDescent="0.3">
      <c r="A932" t="s">
        <v>234</v>
      </c>
      <c r="D932" t="str">
        <f t="shared" si="14"/>
        <v xml:space="preserve">    -4.1509906623105e-015,   !- Vertex 1 X-coordinate {m}</v>
      </c>
    </row>
    <row r="933" spans="1:4" x14ac:dyDescent="0.3">
      <c r="A933" t="s">
        <v>235</v>
      </c>
      <c r="D933" t="str">
        <f t="shared" si="14"/>
        <v xml:space="preserve">    5.73,                    !- Vertex 1 Y-coordinate {m}</v>
      </c>
    </row>
    <row r="934" spans="1:4" x14ac:dyDescent="0.3">
      <c r="A934" t="s">
        <v>236</v>
      </c>
      <c r="D934" t="str">
        <f t="shared" si="14"/>
        <v xml:space="preserve">    1.1556904400607,         !- Vertex 1 Z-coordinate {m}</v>
      </c>
    </row>
    <row r="935" spans="1:4" x14ac:dyDescent="0.3">
      <c r="A935" t="s">
        <v>237</v>
      </c>
      <c r="D935" t="str">
        <f t="shared" si="14"/>
        <v xml:space="preserve">    -3.79003495254438e-015,  !- Vertex 2 X-coordinate {m}</v>
      </c>
    </row>
    <row r="936" spans="1:4" x14ac:dyDescent="0.3">
      <c r="A936" t="s">
        <v>238</v>
      </c>
      <c r="D936" t="str">
        <f t="shared" si="14"/>
        <v xml:space="preserve">    5.73,                    !- Vertex 2 Y-coordinate {m}</v>
      </c>
    </row>
    <row r="937" spans="1:4" x14ac:dyDescent="0.3">
      <c r="A937" t="s">
        <v>239</v>
      </c>
      <c r="D937" t="str">
        <f t="shared" si="14"/>
        <v xml:space="preserve">    -5.63684789180769e-032,  !- Vertex 2 Z-coordinate {m}</v>
      </c>
    </row>
    <row r="938" spans="1:4" x14ac:dyDescent="0.3">
      <c r="A938" t="s">
        <v>219</v>
      </c>
      <c r="D938" t="str">
        <f t="shared" si="14"/>
        <v xml:space="preserve">    -4.15099066231051e-015,  !- Vertex 3 X-coordinate {m}</v>
      </c>
    </row>
    <row r="939" spans="1:4" x14ac:dyDescent="0.3">
      <c r="A939" t="s">
        <v>137</v>
      </c>
      <c r="D939" t="str">
        <f t="shared" si="14"/>
        <v xml:space="preserve">    3.97051280742744e-015,   !- Vertex 3 Y-coordinate {m}</v>
      </c>
    </row>
    <row r="940" spans="1:4" x14ac:dyDescent="0.3">
      <c r="A940" t="s">
        <v>240</v>
      </c>
      <c r="D940" t="str">
        <f t="shared" si="14"/>
        <v xml:space="preserve">    5.63684789180765e-032,   !- Vertex 3 Z-coordinate {m}</v>
      </c>
    </row>
    <row r="941" spans="1:4" x14ac:dyDescent="0.3">
      <c r="A941" t="s">
        <v>241</v>
      </c>
      <c r="D941" t="str">
        <f t="shared" si="14"/>
        <v xml:space="preserve">    -4.51194637207664e-015,  !- Vertex 4 X-coordinate {m}</v>
      </c>
    </row>
    <row r="942" spans="1:4" x14ac:dyDescent="0.3">
      <c r="A942" t="s">
        <v>138</v>
      </c>
      <c r="D942" t="str">
        <f t="shared" si="14"/>
        <v xml:space="preserve">    3.97051280742744e-015,   !- Vertex 4 Y-coordinate {m}</v>
      </c>
    </row>
    <row r="943" spans="1:4" x14ac:dyDescent="0.3">
      <c r="A943" t="s">
        <v>242</v>
      </c>
      <c r="D943" t="str">
        <f t="shared" si="14"/>
        <v xml:space="preserve">    1.1556904400607;         !- Vertex 4 Z-coordinate {m}</v>
      </c>
    </row>
    <row r="944" spans="1:4" x14ac:dyDescent="0.3">
      <c r="D944" t="str">
        <f t="shared" si="14"/>
        <v/>
      </c>
    </row>
    <row r="945" spans="1:4" x14ac:dyDescent="0.3">
      <c r="A945" t="s">
        <v>42</v>
      </c>
      <c r="D945" t="str">
        <f t="shared" si="14"/>
        <v>BuildingSurface:Detailed,</v>
      </c>
    </row>
    <row r="946" spans="1:4" x14ac:dyDescent="0.3">
      <c r="A946" t="s">
        <v>243</v>
      </c>
      <c r="D946" t="str">
        <f t="shared" si="14"/>
        <v xml:space="preserve">    ParedeTelhado3Norte,     !- Name</v>
      </c>
    </row>
    <row r="947" spans="1:4" x14ac:dyDescent="0.3">
      <c r="A947" t="s">
        <v>44</v>
      </c>
      <c r="D947" t="str">
        <f t="shared" si="14"/>
        <v xml:space="preserve">    Wall,                    !- Surface Type</v>
      </c>
    </row>
    <row r="948" spans="1:4" x14ac:dyDescent="0.3">
      <c r="A948" t="str">
        <f>A1048574</f>
        <v>Parede  Tijolo cerâmico 9x14x24 c/ argamassa int e ext</v>
      </c>
      <c r="B948" t="s">
        <v>428</v>
      </c>
      <c r="D948" t="str">
        <f t="shared" si="14"/>
        <v>Parede  Tijolo cerâmico 9x14x24 c/ argamassa int e ext             ,  !- Construction Name</v>
      </c>
    </row>
    <row r="949" spans="1:4" x14ac:dyDescent="0.3">
      <c r="A949" t="s">
        <v>215</v>
      </c>
      <c r="D949" t="str">
        <f t="shared" si="14"/>
        <v xml:space="preserve">    Telhado3,                !- Zone Name</v>
      </c>
    </row>
    <row r="950" spans="1:4" x14ac:dyDescent="0.3">
      <c r="A950" t="s">
        <v>71</v>
      </c>
      <c r="D950" t="str">
        <f t="shared" si="14"/>
        <v xml:space="preserve">    Outdoors,                !- Outside Boundary Condition</v>
      </c>
    </row>
    <row r="951" spans="1:4" x14ac:dyDescent="0.3">
      <c r="A951" t="s">
        <v>72</v>
      </c>
      <c r="D951" t="str">
        <f t="shared" si="14"/>
        <v xml:space="preserve">    ,                        !- Outside Boundary Condition Object</v>
      </c>
    </row>
    <row r="952" spans="1:4" x14ac:dyDescent="0.3">
      <c r="A952" t="s">
        <v>73</v>
      </c>
      <c r="D952" t="str">
        <f t="shared" si="14"/>
        <v xml:space="preserve">    SunExposed,              !- Sun Exposure</v>
      </c>
    </row>
    <row r="953" spans="1:4" x14ac:dyDescent="0.3">
      <c r="A953" t="s">
        <v>74</v>
      </c>
      <c r="D953" t="str">
        <f t="shared" si="14"/>
        <v xml:space="preserve">    WindExposed,             !- Wind Exposure</v>
      </c>
    </row>
    <row r="954" spans="1:4" x14ac:dyDescent="0.3">
      <c r="A954" t="s">
        <v>50</v>
      </c>
      <c r="D954" t="str">
        <f t="shared" si="14"/>
        <v xml:space="preserve">    ,                        !- View Factor to Ground</v>
      </c>
    </row>
    <row r="955" spans="1:4" x14ac:dyDescent="0.3">
      <c r="A955" t="s">
        <v>51</v>
      </c>
      <c r="D955" t="str">
        <f t="shared" si="14"/>
        <v xml:space="preserve">    ,                        !- Number of Vertices</v>
      </c>
    </row>
    <row r="956" spans="1:4" x14ac:dyDescent="0.3">
      <c r="A956" t="s">
        <v>135</v>
      </c>
      <c r="D956" t="str">
        <f t="shared" si="14"/>
        <v xml:space="preserve">    -4.33146851719357e-015,  !- Vertex 1 X-coordinate {m}</v>
      </c>
    </row>
    <row r="957" spans="1:4" x14ac:dyDescent="0.3">
      <c r="A957" t="s">
        <v>225</v>
      </c>
      <c r="D957" t="str">
        <f t="shared" si="14"/>
        <v xml:space="preserve">    6.24000000000003,        !- Vertex 1 Y-coordinate {m}</v>
      </c>
    </row>
    <row r="958" spans="1:4" x14ac:dyDescent="0.3">
      <c r="A958" t="s">
        <v>236</v>
      </c>
      <c r="D958" t="str">
        <f t="shared" si="14"/>
        <v xml:space="preserve">    1.1556904400607,         !- Vertex 1 Z-coordinate {m}</v>
      </c>
    </row>
    <row r="959" spans="1:4" x14ac:dyDescent="0.3">
      <c r="A959" t="s">
        <v>127</v>
      </c>
      <c r="D959" t="str">
        <f t="shared" si="14"/>
        <v xml:space="preserve">    2.71999999999999,        !- Vertex 2 X-coordinate {m}</v>
      </c>
    </row>
    <row r="960" spans="1:4" x14ac:dyDescent="0.3">
      <c r="A960" t="s">
        <v>244</v>
      </c>
      <c r="D960" t="str">
        <f t="shared" si="14"/>
        <v xml:space="preserve">    6.24000000000003,        !- Vertex 2 Y-coordinate {m}</v>
      </c>
    </row>
    <row r="961" spans="1:4" x14ac:dyDescent="0.3">
      <c r="A961" t="s">
        <v>245</v>
      </c>
      <c r="D961" t="str">
        <f t="shared" si="14"/>
        <v xml:space="preserve">    5.41433564649197e-016,   !- Vertex 2 Z-coordinate {m}</v>
      </c>
    </row>
    <row r="962" spans="1:4" x14ac:dyDescent="0.3">
      <c r="A962" t="s">
        <v>129</v>
      </c>
      <c r="D962" t="str">
        <f t="shared" ref="D962:D1025" si="15">CONCATENATE(A962,B962)</f>
        <v xml:space="preserve">    -4.33146851719357e-015,  !- Vertex 3 X-coordinate {m}</v>
      </c>
    </row>
    <row r="963" spans="1:4" x14ac:dyDescent="0.3">
      <c r="A963" t="s">
        <v>246</v>
      </c>
      <c r="D963" t="str">
        <f t="shared" si="15"/>
        <v xml:space="preserve">    6.24000000000003,        !- Vertex 3 Y-coordinate {m}</v>
      </c>
    </row>
    <row r="964" spans="1:4" x14ac:dyDescent="0.3">
      <c r="A964" t="s">
        <v>247</v>
      </c>
      <c r="D964" t="str">
        <f t="shared" si="15"/>
        <v xml:space="preserve">    1.80477854883065e-016;   !- Vertex 3 Z-coordinate {m}</v>
      </c>
    </row>
    <row r="965" spans="1:4" x14ac:dyDescent="0.3">
      <c r="D965" t="str">
        <f t="shared" si="15"/>
        <v/>
      </c>
    </row>
    <row r="966" spans="1:4" x14ac:dyDescent="0.3">
      <c r="A966" t="s">
        <v>42</v>
      </c>
      <c r="D966" t="str">
        <f t="shared" si="15"/>
        <v>BuildingSurface:Detailed,</v>
      </c>
    </row>
    <row r="967" spans="1:4" x14ac:dyDescent="0.3">
      <c r="A967" t="s">
        <v>248</v>
      </c>
      <c r="D967" t="str">
        <f t="shared" si="15"/>
        <v xml:space="preserve">    ParedeTelhado3Oeste,     !- Name</v>
      </c>
    </row>
    <row r="968" spans="1:4" x14ac:dyDescent="0.3">
      <c r="A968" t="s">
        <v>44</v>
      </c>
      <c r="D968" t="str">
        <f t="shared" si="15"/>
        <v xml:space="preserve">    Wall,                    !- Surface Type</v>
      </c>
    </row>
    <row r="969" spans="1:4" x14ac:dyDescent="0.3">
      <c r="A969" t="str">
        <f>A1048574</f>
        <v>Parede  Tijolo cerâmico 9x14x24 c/ argamassa int e ext</v>
      </c>
      <c r="B969" t="s">
        <v>428</v>
      </c>
      <c r="D969" t="str">
        <f t="shared" si="15"/>
        <v>Parede  Tijolo cerâmico 9x14x24 c/ argamassa int e ext             ,  !- Construction Name</v>
      </c>
    </row>
    <row r="970" spans="1:4" x14ac:dyDescent="0.3">
      <c r="A970" t="s">
        <v>215</v>
      </c>
      <c r="D970" t="str">
        <f t="shared" si="15"/>
        <v xml:space="preserve">    Telhado3,                !- Zone Name</v>
      </c>
    </row>
    <row r="971" spans="1:4" x14ac:dyDescent="0.3">
      <c r="A971" t="s">
        <v>71</v>
      </c>
      <c r="D971" t="str">
        <f t="shared" si="15"/>
        <v xml:space="preserve">    Outdoors,                !- Outside Boundary Condition</v>
      </c>
    </row>
    <row r="972" spans="1:4" x14ac:dyDescent="0.3">
      <c r="A972" t="s">
        <v>72</v>
      </c>
      <c r="D972" t="str">
        <f t="shared" si="15"/>
        <v xml:space="preserve">    ,                        !- Outside Boundary Condition Object</v>
      </c>
    </row>
    <row r="973" spans="1:4" x14ac:dyDescent="0.3">
      <c r="A973" t="s">
        <v>73</v>
      </c>
      <c r="D973" t="str">
        <f t="shared" si="15"/>
        <v xml:space="preserve">    SunExposed,              !- Sun Exposure</v>
      </c>
    </row>
    <row r="974" spans="1:4" x14ac:dyDescent="0.3">
      <c r="A974" t="s">
        <v>74</v>
      </c>
      <c r="D974" t="str">
        <f t="shared" si="15"/>
        <v xml:space="preserve">    WindExposed,             !- Wind Exposure</v>
      </c>
    </row>
    <row r="975" spans="1:4" x14ac:dyDescent="0.3">
      <c r="A975" t="s">
        <v>50</v>
      </c>
      <c r="D975" t="str">
        <f t="shared" si="15"/>
        <v xml:space="preserve">    ,                        !- View Factor to Ground</v>
      </c>
    </row>
    <row r="976" spans="1:4" x14ac:dyDescent="0.3">
      <c r="A976" t="s">
        <v>51</v>
      </c>
      <c r="D976" t="str">
        <f t="shared" si="15"/>
        <v xml:space="preserve">    ,                        !- Number of Vertices</v>
      </c>
    </row>
    <row r="977" spans="1:4" x14ac:dyDescent="0.3">
      <c r="A977" t="s">
        <v>135</v>
      </c>
      <c r="D977" t="str">
        <f t="shared" si="15"/>
        <v xml:space="preserve">    -4.33146851719357e-015,  !- Vertex 1 X-coordinate {m}</v>
      </c>
    </row>
    <row r="978" spans="1:4" x14ac:dyDescent="0.3">
      <c r="A978" t="s">
        <v>225</v>
      </c>
      <c r="D978" t="str">
        <f t="shared" si="15"/>
        <v xml:space="preserve">    6.24000000000003,        !- Vertex 1 Y-coordinate {m}</v>
      </c>
    </row>
    <row r="979" spans="1:4" x14ac:dyDescent="0.3">
      <c r="A979" t="s">
        <v>236</v>
      </c>
      <c r="D979" t="str">
        <f t="shared" si="15"/>
        <v xml:space="preserve">    1.1556904400607,         !- Vertex 1 Z-coordinate {m}</v>
      </c>
    </row>
    <row r="980" spans="1:4" x14ac:dyDescent="0.3">
      <c r="A980" t="s">
        <v>136</v>
      </c>
      <c r="D980" t="str">
        <f t="shared" si="15"/>
        <v xml:space="preserve">    -4.33146851719357e-015,  !- Vertex 2 X-coordinate {m}</v>
      </c>
    </row>
    <row r="981" spans="1:4" x14ac:dyDescent="0.3">
      <c r="A981" t="s">
        <v>244</v>
      </c>
      <c r="D981" t="str">
        <f t="shared" si="15"/>
        <v xml:space="preserve">    6.24000000000003,        !- Vertex 2 Y-coordinate {m}</v>
      </c>
    </row>
    <row r="982" spans="1:4" x14ac:dyDescent="0.3">
      <c r="A982" t="s">
        <v>249</v>
      </c>
      <c r="D982" t="str">
        <f t="shared" si="15"/>
        <v xml:space="preserve">    1.80477854883065e-016,   !- Vertex 2 Z-coordinate {m}</v>
      </c>
    </row>
    <row r="983" spans="1:4" x14ac:dyDescent="0.3">
      <c r="A983" t="s">
        <v>250</v>
      </c>
      <c r="D983" t="str">
        <f t="shared" si="15"/>
        <v xml:space="preserve">    -3.79003495254438e-015,  !- Vertex 3 X-coordinate {m}</v>
      </c>
    </row>
    <row r="984" spans="1:4" x14ac:dyDescent="0.3">
      <c r="A984" t="s">
        <v>251</v>
      </c>
      <c r="D984" t="str">
        <f t="shared" si="15"/>
        <v xml:space="preserve">    5.73,                    !- Vertex 3 Y-coordinate {m}</v>
      </c>
    </row>
    <row r="985" spans="1:4" x14ac:dyDescent="0.3">
      <c r="A985" t="s">
        <v>252</v>
      </c>
      <c r="D985" t="str">
        <f t="shared" si="15"/>
        <v xml:space="preserve">    -5.63684789180777e-032,  !- Vertex 3 Z-coordinate {m}</v>
      </c>
    </row>
    <row r="986" spans="1:4" x14ac:dyDescent="0.3">
      <c r="A986" t="s">
        <v>253</v>
      </c>
      <c r="D986" t="str">
        <f t="shared" si="15"/>
        <v xml:space="preserve">    -4.1509906623105e-015,   !- Vertex 4 X-coordinate {m}</v>
      </c>
    </row>
    <row r="987" spans="1:4" x14ac:dyDescent="0.3">
      <c r="A987" t="s">
        <v>254</v>
      </c>
      <c r="D987" t="str">
        <f t="shared" si="15"/>
        <v xml:space="preserve">    5.73,                    !- Vertex 4 Y-coordinate {m}</v>
      </c>
    </row>
    <row r="988" spans="1:4" x14ac:dyDescent="0.3">
      <c r="A988" t="s">
        <v>242</v>
      </c>
      <c r="D988" t="str">
        <f t="shared" si="15"/>
        <v xml:space="preserve">    1.1556904400607;         !- Vertex 4 Z-coordinate {m}</v>
      </c>
    </row>
    <row r="989" spans="1:4" x14ac:dyDescent="0.3">
      <c r="D989" t="str">
        <f t="shared" si="15"/>
        <v/>
      </c>
    </row>
    <row r="990" spans="1:4" x14ac:dyDescent="0.3">
      <c r="A990" t="s">
        <v>42</v>
      </c>
      <c r="D990" t="str">
        <f t="shared" si="15"/>
        <v>BuildingSurface:Detailed,</v>
      </c>
    </row>
    <row r="991" spans="1:4" x14ac:dyDescent="0.3">
      <c r="A991" t="s">
        <v>255</v>
      </c>
      <c r="D991" t="str">
        <f t="shared" si="15"/>
        <v xml:space="preserve">    ParedeTelhado3Sul,       !- Name</v>
      </c>
    </row>
    <row r="992" spans="1:4" x14ac:dyDescent="0.3">
      <c r="A992" t="s">
        <v>44</v>
      </c>
      <c r="D992" t="str">
        <f t="shared" si="15"/>
        <v xml:space="preserve">    Wall,                    !- Surface Type</v>
      </c>
    </row>
    <row r="993" spans="1:4" x14ac:dyDescent="0.3">
      <c r="A993" t="str">
        <f>A1048574</f>
        <v>Parede  Tijolo cerâmico 9x14x24 c/ argamassa int e ext</v>
      </c>
      <c r="B993" t="s">
        <v>428</v>
      </c>
      <c r="D993" t="str">
        <f t="shared" si="15"/>
        <v>Parede  Tijolo cerâmico 9x14x24 c/ argamassa int e ext             ,  !- Construction Name</v>
      </c>
    </row>
    <row r="994" spans="1:4" x14ac:dyDescent="0.3">
      <c r="A994" t="s">
        <v>215</v>
      </c>
      <c r="D994" t="str">
        <f t="shared" si="15"/>
        <v xml:space="preserve">    Telhado3,                !- Zone Name</v>
      </c>
    </row>
    <row r="995" spans="1:4" x14ac:dyDescent="0.3">
      <c r="A995" t="s">
        <v>71</v>
      </c>
      <c r="D995" t="str">
        <f t="shared" si="15"/>
        <v xml:space="preserve">    Outdoors,                !- Outside Boundary Condition</v>
      </c>
    </row>
    <row r="996" spans="1:4" x14ac:dyDescent="0.3">
      <c r="A996" t="s">
        <v>72</v>
      </c>
      <c r="D996" t="str">
        <f t="shared" si="15"/>
        <v xml:space="preserve">    ,                        !- Outside Boundary Condition Object</v>
      </c>
    </row>
    <row r="997" spans="1:4" x14ac:dyDescent="0.3">
      <c r="A997" t="s">
        <v>73</v>
      </c>
      <c r="D997" t="str">
        <f t="shared" si="15"/>
        <v xml:space="preserve">    SunExposed,              !- Sun Exposure</v>
      </c>
    </row>
    <row r="998" spans="1:4" x14ac:dyDescent="0.3">
      <c r="A998" t="s">
        <v>74</v>
      </c>
      <c r="D998" t="str">
        <f t="shared" si="15"/>
        <v xml:space="preserve">    WindExposed,             !- Wind Exposure</v>
      </c>
    </row>
    <row r="999" spans="1:4" x14ac:dyDescent="0.3">
      <c r="A999" t="s">
        <v>50</v>
      </c>
      <c r="D999" t="str">
        <f t="shared" si="15"/>
        <v xml:space="preserve">    ,                        !- View Factor to Ground</v>
      </c>
    </row>
    <row r="1000" spans="1:4" x14ac:dyDescent="0.3">
      <c r="A1000" t="s">
        <v>51</v>
      </c>
      <c r="D1000" t="str">
        <f t="shared" si="15"/>
        <v xml:space="preserve">    ,                        !- Number of Vertices</v>
      </c>
    </row>
    <row r="1001" spans="1:4" x14ac:dyDescent="0.3">
      <c r="A1001" t="s">
        <v>256</v>
      </c>
      <c r="D1001" t="str">
        <f t="shared" si="15"/>
        <v xml:space="preserve">    -4.51194637207664e-015,  !- Vertex 1 X-coordinate {m}</v>
      </c>
    </row>
    <row r="1002" spans="1:4" x14ac:dyDescent="0.3">
      <c r="A1002" t="s">
        <v>140</v>
      </c>
      <c r="D1002" t="str">
        <f t="shared" si="15"/>
        <v xml:space="preserve">    3.97051280742744e-015,   !- Vertex 1 Y-coordinate {m}</v>
      </c>
    </row>
    <row r="1003" spans="1:4" x14ac:dyDescent="0.3">
      <c r="A1003" t="s">
        <v>236</v>
      </c>
      <c r="D1003" t="str">
        <f t="shared" si="15"/>
        <v xml:space="preserve">    1.1556904400607,         !- Vertex 1 Z-coordinate {m}</v>
      </c>
    </row>
    <row r="1004" spans="1:4" x14ac:dyDescent="0.3">
      <c r="A1004" t="s">
        <v>257</v>
      </c>
      <c r="D1004" t="str">
        <f t="shared" si="15"/>
        <v xml:space="preserve">    -4.15099066231051e-015,  !- Vertex 2 X-coordinate {m}</v>
      </c>
    </row>
    <row r="1005" spans="1:4" x14ac:dyDescent="0.3">
      <c r="A1005" t="s">
        <v>141</v>
      </c>
      <c r="D1005" t="str">
        <f t="shared" si="15"/>
        <v xml:space="preserve">    3.97051280742744e-015,   !- Vertex 2 Y-coordinate {m}</v>
      </c>
    </row>
    <row r="1006" spans="1:4" x14ac:dyDescent="0.3">
      <c r="A1006" t="s">
        <v>258</v>
      </c>
      <c r="D1006" t="str">
        <f t="shared" si="15"/>
        <v xml:space="preserve">    5.63684789180773e-032,   !- Vertex 2 Z-coordinate {m}</v>
      </c>
    </row>
    <row r="1007" spans="1:4" x14ac:dyDescent="0.3">
      <c r="A1007" t="s">
        <v>142</v>
      </c>
      <c r="D1007" t="str">
        <f t="shared" si="15"/>
        <v xml:space="preserve">    2.71999999999999,        !- Vertex 3 X-coordinate {m}</v>
      </c>
    </row>
    <row r="1008" spans="1:4" x14ac:dyDescent="0.3">
      <c r="A1008" t="s">
        <v>137</v>
      </c>
      <c r="D1008" t="str">
        <f t="shared" si="15"/>
        <v xml:space="preserve">    3.97051280742744e-015,   !- Vertex 3 Y-coordinate {m}</v>
      </c>
    </row>
    <row r="1009" spans="1:4" x14ac:dyDescent="0.3">
      <c r="A1009" t="s">
        <v>259</v>
      </c>
      <c r="D1009" t="str">
        <f t="shared" si="15"/>
        <v xml:space="preserve">    5.55805265195185e-016;   !- Vertex 3 Z-coordinate {m}</v>
      </c>
    </row>
    <row r="1010" spans="1:4" x14ac:dyDescent="0.3">
      <c r="D1010" t="str">
        <f t="shared" si="15"/>
        <v/>
      </c>
    </row>
    <row r="1011" spans="1:4" x14ac:dyDescent="0.3">
      <c r="A1011" t="s">
        <v>42</v>
      </c>
      <c r="D1011" t="str">
        <f t="shared" si="15"/>
        <v>BuildingSurface:Detailed,</v>
      </c>
    </row>
    <row r="1012" spans="1:4" x14ac:dyDescent="0.3">
      <c r="A1012" t="s">
        <v>260</v>
      </c>
      <c r="D1012" t="str">
        <f t="shared" si="15"/>
        <v xml:space="preserve">    Telha3,                  !- Name</v>
      </c>
    </row>
    <row r="1013" spans="1:4" x14ac:dyDescent="0.3">
      <c r="A1013" t="s">
        <v>213</v>
      </c>
      <c r="D1013" t="str">
        <f t="shared" si="15"/>
        <v xml:space="preserve">    Roof,                    !- Surface Type</v>
      </c>
    </row>
    <row r="1014" spans="1:4" x14ac:dyDescent="0.3">
      <c r="A1014" t="str">
        <f>D1048574</f>
        <v>Telha ceramica</v>
      </c>
      <c r="B1014" t="s">
        <v>422</v>
      </c>
      <c r="D1014" t="str">
        <f t="shared" si="15"/>
        <v>Telha ceramica,!- Construction Name</v>
      </c>
    </row>
    <row r="1015" spans="1:4" x14ac:dyDescent="0.3">
      <c r="A1015" t="s">
        <v>215</v>
      </c>
      <c r="D1015" t="str">
        <f t="shared" si="15"/>
        <v xml:space="preserve">    Telhado3,                !- Zone Name</v>
      </c>
    </row>
    <row r="1016" spans="1:4" x14ac:dyDescent="0.3">
      <c r="A1016" t="s">
        <v>71</v>
      </c>
      <c r="D1016" t="str">
        <f t="shared" si="15"/>
        <v xml:space="preserve">    Outdoors,                !- Outside Boundary Condition</v>
      </c>
    </row>
    <row r="1017" spans="1:4" x14ac:dyDescent="0.3">
      <c r="A1017" t="s">
        <v>72</v>
      </c>
      <c r="D1017" t="str">
        <f t="shared" si="15"/>
        <v xml:space="preserve">    ,                        !- Outside Boundary Condition Object</v>
      </c>
    </row>
    <row r="1018" spans="1:4" x14ac:dyDescent="0.3">
      <c r="A1018" t="s">
        <v>73</v>
      </c>
      <c r="D1018" t="str">
        <f t="shared" si="15"/>
        <v xml:space="preserve">    SunExposed,              !- Sun Exposure</v>
      </c>
    </row>
    <row r="1019" spans="1:4" x14ac:dyDescent="0.3">
      <c r="A1019" t="s">
        <v>74</v>
      </c>
      <c r="D1019" t="str">
        <f t="shared" si="15"/>
        <v xml:space="preserve">    WindExposed,             !- Wind Exposure</v>
      </c>
    </row>
    <row r="1020" spans="1:4" x14ac:dyDescent="0.3">
      <c r="A1020" t="s">
        <v>50</v>
      </c>
      <c r="D1020" t="str">
        <f t="shared" si="15"/>
        <v xml:space="preserve">    ,                        !- View Factor to Ground</v>
      </c>
    </row>
    <row r="1021" spans="1:4" x14ac:dyDescent="0.3">
      <c r="A1021" t="s">
        <v>51</v>
      </c>
      <c r="D1021" t="str">
        <f t="shared" si="15"/>
        <v xml:space="preserve">    ,                        !- Number of Vertices</v>
      </c>
    </row>
    <row r="1022" spans="1:4" x14ac:dyDescent="0.3">
      <c r="A1022" t="s">
        <v>256</v>
      </c>
      <c r="D1022" t="str">
        <f t="shared" si="15"/>
        <v xml:space="preserve">    -4.51194637207664e-015,  !- Vertex 1 X-coordinate {m}</v>
      </c>
    </row>
    <row r="1023" spans="1:4" x14ac:dyDescent="0.3">
      <c r="A1023" t="s">
        <v>140</v>
      </c>
      <c r="D1023" t="str">
        <f t="shared" si="15"/>
        <v xml:space="preserve">    3.97051280742744e-015,   !- Vertex 1 Y-coordinate {m}</v>
      </c>
    </row>
    <row r="1024" spans="1:4" x14ac:dyDescent="0.3">
      <c r="A1024" t="s">
        <v>236</v>
      </c>
      <c r="D1024" t="str">
        <f t="shared" si="15"/>
        <v xml:space="preserve">    1.1556904400607,         !- Vertex 1 Z-coordinate {m}</v>
      </c>
    </row>
    <row r="1025" spans="1:4" x14ac:dyDescent="0.3">
      <c r="A1025" t="s">
        <v>127</v>
      </c>
      <c r="D1025" t="str">
        <f t="shared" si="15"/>
        <v xml:space="preserve">    2.71999999999999,        !- Vertex 2 X-coordinate {m}</v>
      </c>
    </row>
    <row r="1026" spans="1:4" x14ac:dyDescent="0.3">
      <c r="A1026" t="s">
        <v>141</v>
      </c>
      <c r="D1026" t="str">
        <f t="shared" ref="D1026:D1089" si="16">CONCATENATE(A1026,B1026)</f>
        <v xml:space="preserve">    3.97051280742744e-015,   !- Vertex 2 Y-coordinate {m}</v>
      </c>
    </row>
    <row r="1027" spans="1:4" x14ac:dyDescent="0.3">
      <c r="A1027" t="s">
        <v>261</v>
      </c>
      <c r="D1027" t="str">
        <f t="shared" si="16"/>
        <v xml:space="preserve">    5.55805265195185e-016,   !- Vertex 2 Z-coordinate {m}</v>
      </c>
    </row>
    <row r="1028" spans="1:4" x14ac:dyDescent="0.3">
      <c r="A1028" t="s">
        <v>142</v>
      </c>
      <c r="D1028" t="str">
        <f t="shared" si="16"/>
        <v xml:space="preserve">    2.71999999999999,        !- Vertex 3 X-coordinate {m}</v>
      </c>
    </row>
    <row r="1029" spans="1:4" x14ac:dyDescent="0.3">
      <c r="A1029" t="s">
        <v>246</v>
      </c>
      <c r="D1029" t="str">
        <f t="shared" si="16"/>
        <v xml:space="preserve">    6.24000000000003,        !- Vertex 3 Y-coordinate {m}</v>
      </c>
    </row>
    <row r="1030" spans="1:4" x14ac:dyDescent="0.3">
      <c r="A1030" t="s">
        <v>262</v>
      </c>
      <c r="D1030" t="str">
        <f t="shared" si="16"/>
        <v xml:space="preserve">    5.41433564649197e-016,   !- Vertex 3 Z-coordinate {m}</v>
      </c>
    </row>
    <row r="1031" spans="1:4" x14ac:dyDescent="0.3">
      <c r="A1031" t="s">
        <v>131</v>
      </c>
      <c r="D1031" t="str">
        <f t="shared" si="16"/>
        <v xml:space="preserve">    -4.33146851719357e-015,  !- Vertex 4 X-coordinate {m}</v>
      </c>
    </row>
    <row r="1032" spans="1:4" x14ac:dyDescent="0.3">
      <c r="A1032" t="s">
        <v>230</v>
      </c>
      <c r="D1032" t="str">
        <f t="shared" si="16"/>
        <v xml:space="preserve">    6.24000000000003,        !- Vertex 4 Y-coordinate {m}</v>
      </c>
    </row>
    <row r="1033" spans="1:4" x14ac:dyDescent="0.3">
      <c r="A1033" t="s">
        <v>242</v>
      </c>
      <c r="D1033" t="str">
        <f t="shared" si="16"/>
        <v xml:space="preserve">    1.1556904400607;         !- Vertex 4 Z-coordinate {m}</v>
      </c>
    </row>
    <row r="1034" spans="1:4" x14ac:dyDescent="0.3">
      <c r="D1034" t="str">
        <f t="shared" si="16"/>
        <v/>
      </c>
    </row>
    <row r="1035" spans="1:4" x14ac:dyDescent="0.3">
      <c r="A1035" t="s">
        <v>42</v>
      </c>
      <c r="D1035" t="str">
        <f t="shared" si="16"/>
        <v>BuildingSurface:Detailed,</v>
      </c>
    </row>
    <row r="1036" spans="1:4" x14ac:dyDescent="0.3">
      <c r="A1036" t="s">
        <v>263</v>
      </c>
      <c r="D1036" t="str">
        <f t="shared" si="16"/>
        <v xml:space="preserve">    Forro2,                  !- Name</v>
      </c>
    </row>
    <row r="1037" spans="1:4" x14ac:dyDescent="0.3">
      <c r="A1037" t="s">
        <v>104</v>
      </c>
      <c r="D1037" t="str">
        <f t="shared" si="16"/>
        <v xml:space="preserve">    Floor,                   !- Surface Type</v>
      </c>
    </row>
    <row r="1038" spans="1:4" x14ac:dyDescent="0.3">
      <c r="A1038" t="str">
        <f>B1048574</f>
        <v>Forro PVC</v>
      </c>
      <c r="B1038" t="s">
        <v>427</v>
      </c>
      <c r="D1038" t="str">
        <f t="shared" si="16"/>
        <v>Forro PVC,               !- Construction Name</v>
      </c>
    </row>
    <row r="1039" spans="1:4" x14ac:dyDescent="0.3">
      <c r="A1039" t="s">
        <v>264</v>
      </c>
      <c r="D1039" t="str">
        <f t="shared" si="16"/>
        <v xml:space="preserve">    Telhado2,                !- Zone Name</v>
      </c>
    </row>
    <row r="1040" spans="1:4" x14ac:dyDescent="0.3">
      <c r="A1040" t="s">
        <v>46</v>
      </c>
      <c r="D1040" t="str">
        <f t="shared" si="16"/>
        <v xml:space="preserve">    Surface,                 !- Outside Boundary Condition</v>
      </c>
    </row>
    <row r="1041" spans="1:4" x14ac:dyDescent="0.3">
      <c r="A1041" t="s">
        <v>265</v>
      </c>
      <c r="D1041" t="str">
        <f t="shared" si="16"/>
        <v xml:space="preserve">    Surface 8,               !- Outside Boundary Condition Object</v>
      </c>
    </row>
    <row r="1042" spans="1:4" x14ac:dyDescent="0.3">
      <c r="A1042" t="s">
        <v>48</v>
      </c>
      <c r="D1042" t="str">
        <f t="shared" si="16"/>
        <v xml:space="preserve">    NoSun,                   !- Sun Exposure</v>
      </c>
    </row>
    <row r="1043" spans="1:4" x14ac:dyDescent="0.3">
      <c r="A1043" t="s">
        <v>49</v>
      </c>
      <c r="D1043" t="str">
        <f t="shared" si="16"/>
        <v xml:space="preserve">    NoWind,                  !- Wind Exposure</v>
      </c>
    </row>
    <row r="1044" spans="1:4" x14ac:dyDescent="0.3">
      <c r="A1044" t="s">
        <v>50</v>
      </c>
      <c r="D1044" t="str">
        <f t="shared" si="16"/>
        <v xml:space="preserve">    ,                        !- View Factor to Ground</v>
      </c>
    </row>
    <row r="1045" spans="1:4" x14ac:dyDescent="0.3">
      <c r="A1045" t="s">
        <v>51</v>
      </c>
      <c r="D1045" t="str">
        <f t="shared" si="16"/>
        <v xml:space="preserve">    ,                        !- Number of Vertices</v>
      </c>
    </row>
    <row r="1046" spans="1:4" x14ac:dyDescent="0.3">
      <c r="A1046" t="s">
        <v>266</v>
      </c>
      <c r="D1046" t="str">
        <f t="shared" si="16"/>
        <v xml:space="preserve">    0.574999999999996,       !- Vertex 1 X-coordinate {m}</v>
      </c>
    </row>
    <row r="1047" spans="1:4" x14ac:dyDescent="0.3">
      <c r="A1047" t="s">
        <v>80</v>
      </c>
      <c r="D1047" t="str">
        <f t="shared" si="16"/>
        <v xml:space="preserve">    6.73,                    !- Vertex 1 Y-coordinate {m}</v>
      </c>
    </row>
    <row r="1048" spans="1:4" x14ac:dyDescent="0.3">
      <c r="A1048" t="s">
        <v>267</v>
      </c>
      <c r="D1048" t="str">
        <f t="shared" si="16"/>
        <v xml:space="preserve">    3.60955709766131e-016,   !- Vertex 1 Z-coordinate {m}</v>
      </c>
    </row>
    <row r="1049" spans="1:4" x14ac:dyDescent="0.3">
      <c r="A1049" t="s">
        <v>268</v>
      </c>
      <c r="D1049" t="str">
        <f t="shared" si="16"/>
        <v xml:space="preserve">    0.574999999999996,       !- Vertex 2 X-coordinate {m}</v>
      </c>
    </row>
    <row r="1050" spans="1:4" x14ac:dyDescent="0.3">
      <c r="A1050" t="s">
        <v>269</v>
      </c>
      <c r="D1050" t="str">
        <f t="shared" si="16"/>
        <v xml:space="preserve">    5.6399329650958e-017,    !- Vertex 2 Y-coordinate {m}</v>
      </c>
    </row>
    <row r="1051" spans="1:4" x14ac:dyDescent="0.3">
      <c r="A1051" t="s">
        <v>270</v>
      </c>
      <c r="D1051" t="str">
        <f t="shared" si="16"/>
        <v xml:space="preserve">    -1.20222401955682e-031,  !- Vertex 2 Z-coordinate {m}</v>
      </c>
    </row>
    <row r="1052" spans="1:4" x14ac:dyDescent="0.3">
      <c r="A1052" t="s">
        <v>271</v>
      </c>
      <c r="D1052" t="str">
        <f t="shared" si="16"/>
        <v xml:space="preserve">    -5.05337993672583e-015,  !- Vertex 3 X-coordinate {m}</v>
      </c>
    </row>
    <row r="1053" spans="1:4" x14ac:dyDescent="0.3">
      <c r="A1053" t="s">
        <v>272</v>
      </c>
      <c r="D1053" t="str">
        <f t="shared" si="16"/>
        <v xml:space="preserve">    -4.51194637207664e-017,  !- Vertex 3 Y-coordinate {m}</v>
      </c>
    </row>
    <row r="1054" spans="1:4" x14ac:dyDescent="0.3">
      <c r="A1054" t="s">
        <v>273</v>
      </c>
      <c r="D1054" t="str">
        <f t="shared" si="16"/>
        <v xml:space="preserve">    3.60955709766131e-016,   !- Vertex 3 Z-coordinate {m}</v>
      </c>
    </row>
    <row r="1055" spans="1:4" x14ac:dyDescent="0.3">
      <c r="A1055" t="s">
        <v>131</v>
      </c>
      <c r="D1055" t="str">
        <f t="shared" si="16"/>
        <v xml:space="preserve">    -4.33146851719357e-015,  !- Vertex 4 X-coordinate {m}</v>
      </c>
    </row>
    <row r="1056" spans="1:4" x14ac:dyDescent="0.3">
      <c r="A1056" t="s">
        <v>69</v>
      </c>
      <c r="D1056" t="str">
        <f t="shared" si="16"/>
        <v xml:space="preserve">    6.73,                    !- Vertex 4 Y-coordinate {m}</v>
      </c>
    </row>
    <row r="1057" spans="1:4" x14ac:dyDescent="0.3">
      <c r="A1057" t="s">
        <v>274</v>
      </c>
      <c r="D1057" t="str">
        <f t="shared" si="16"/>
        <v xml:space="preserve">    7.21911419532262e-016;   !- Vertex 4 Z-coordinate {m}</v>
      </c>
    </row>
    <row r="1058" spans="1:4" x14ac:dyDescent="0.3">
      <c r="D1058" t="str">
        <f t="shared" si="16"/>
        <v/>
      </c>
    </row>
    <row r="1059" spans="1:4" x14ac:dyDescent="0.3">
      <c r="A1059" t="s">
        <v>42</v>
      </c>
      <c r="D1059" t="str">
        <f t="shared" si="16"/>
        <v>BuildingSurface:Detailed,</v>
      </c>
    </row>
    <row r="1060" spans="1:4" x14ac:dyDescent="0.3">
      <c r="A1060" t="s">
        <v>275</v>
      </c>
      <c r="D1060" t="str">
        <f t="shared" si="16"/>
        <v xml:space="preserve">    ParedeIntTelhado2Telhado1,  !- Name</v>
      </c>
    </row>
    <row r="1061" spans="1:4" x14ac:dyDescent="0.3">
      <c r="A1061" t="s">
        <v>44</v>
      </c>
      <c r="D1061" t="str">
        <f t="shared" si="16"/>
        <v xml:space="preserve">    Wall,                    !- Surface Type</v>
      </c>
    </row>
    <row r="1062" spans="1:4" x14ac:dyDescent="0.3">
      <c r="A1062" t="str">
        <f>A1048574</f>
        <v>Parede  Tijolo cerâmico 9x14x24 c/ argamassa int e ext</v>
      </c>
      <c r="B1062" t="s">
        <v>428</v>
      </c>
      <c r="D1062" t="str">
        <f t="shared" si="16"/>
        <v>Parede  Tijolo cerâmico 9x14x24 c/ argamassa int e ext             ,  !- Construction Name</v>
      </c>
    </row>
    <row r="1063" spans="1:4" x14ac:dyDescent="0.3">
      <c r="A1063" t="s">
        <v>264</v>
      </c>
      <c r="D1063" t="str">
        <f t="shared" si="16"/>
        <v xml:space="preserve">    Telhado2,                !- Zone Name</v>
      </c>
    </row>
    <row r="1064" spans="1:4" x14ac:dyDescent="0.3">
      <c r="A1064" t="s">
        <v>46</v>
      </c>
      <c r="D1064" t="str">
        <f t="shared" si="16"/>
        <v xml:space="preserve">    Surface,                 !- Outside Boundary Condition</v>
      </c>
    </row>
    <row r="1065" spans="1:4" x14ac:dyDescent="0.3">
      <c r="A1065" t="s">
        <v>276</v>
      </c>
      <c r="D1065" t="str">
        <f t="shared" si="16"/>
        <v xml:space="preserve">    ParedeIntTelhado1Telhado2,  !- Outside Boundary Condition Object</v>
      </c>
    </row>
    <row r="1066" spans="1:4" x14ac:dyDescent="0.3">
      <c r="A1066" t="s">
        <v>48</v>
      </c>
      <c r="D1066" t="str">
        <f t="shared" si="16"/>
        <v xml:space="preserve">    NoSun,                   !- Sun Exposure</v>
      </c>
    </row>
    <row r="1067" spans="1:4" x14ac:dyDescent="0.3">
      <c r="A1067" t="s">
        <v>49</v>
      </c>
      <c r="D1067" t="str">
        <f t="shared" si="16"/>
        <v xml:space="preserve">    NoWind,                  !- Wind Exposure</v>
      </c>
    </row>
    <row r="1068" spans="1:4" x14ac:dyDescent="0.3">
      <c r="A1068" t="s">
        <v>50</v>
      </c>
      <c r="D1068" t="str">
        <f t="shared" si="16"/>
        <v xml:space="preserve">    ,                        !- View Factor to Ground</v>
      </c>
    </row>
    <row r="1069" spans="1:4" x14ac:dyDescent="0.3">
      <c r="A1069" t="s">
        <v>51</v>
      </c>
      <c r="D1069" t="str">
        <f t="shared" si="16"/>
        <v xml:space="preserve">    ,                        !- Number of Vertices</v>
      </c>
    </row>
    <row r="1070" spans="1:4" x14ac:dyDescent="0.3">
      <c r="A1070" t="s">
        <v>135</v>
      </c>
      <c r="D1070" t="str">
        <f t="shared" si="16"/>
        <v xml:space="preserve">    -4.33146851719357e-015,  !- Vertex 1 X-coordinate {m}</v>
      </c>
    </row>
    <row r="1071" spans="1:4" x14ac:dyDescent="0.3">
      <c r="A1071" t="s">
        <v>80</v>
      </c>
      <c r="D1071" t="str">
        <f t="shared" si="16"/>
        <v xml:space="preserve">    6.73,                    !- Vertex 1 Y-coordinate {m}</v>
      </c>
    </row>
    <row r="1072" spans="1:4" x14ac:dyDescent="0.3">
      <c r="A1072" t="s">
        <v>206</v>
      </c>
      <c r="D1072" t="str">
        <f t="shared" si="16"/>
        <v xml:space="preserve">    1.4,                     !- Vertex 1 Z-coordinate {m}</v>
      </c>
    </row>
    <row r="1073" spans="1:4" x14ac:dyDescent="0.3">
      <c r="A1073" t="s">
        <v>136</v>
      </c>
      <c r="D1073" t="str">
        <f t="shared" si="16"/>
        <v xml:space="preserve">    -4.33146851719357e-015,  !- Vertex 2 X-coordinate {m}</v>
      </c>
    </row>
    <row r="1074" spans="1:4" x14ac:dyDescent="0.3">
      <c r="A1074" t="s">
        <v>81</v>
      </c>
      <c r="D1074" t="str">
        <f t="shared" si="16"/>
        <v xml:space="preserve">    6.73,                    !- Vertex 2 Y-coordinate {m}</v>
      </c>
    </row>
    <row r="1075" spans="1:4" x14ac:dyDescent="0.3">
      <c r="A1075" t="s">
        <v>277</v>
      </c>
      <c r="D1075" t="str">
        <f t="shared" si="16"/>
        <v xml:space="preserve">    7.21911419532262e-016,   !- Vertex 2 Z-coordinate {m}</v>
      </c>
    </row>
    <row r="1076" spans="1:4" x14ac:dyDescent="0.3">
      <c r="A1076" t="s">
        <v>271</v>
      </c>
      <c r="D1076" t="str">
        <f t="shared" si="16"/>
        <v xml:space="preserve">    -5.05337993672583e-015,  !- Vertex 3 X-coordinate {m}</v>
      </c>
    </row>
    <row r="1077" spans="1:4" x14ac:dyDescent="0.3">
      <c r="A1077" t="s">
        <v>272</v>
      </c>
      <c r="D1077" t="str">
        <f t="shared" si="16"/>
        <v xml:space="preserve">    -4.51194637207664e-017,  !- Vertex 3 Y-coordinate {m}</v>
      </c>
    </row>
    <row r="1078" spans="1:4" x14ac:dyDescent="0.3">
      <c r="A1078" t="s">
        <v>273</v>
      </c>
      <c r="D1078" t="str">
        <f t="shared" si="16"/>
        <v xml:space="preserve">    3.60955709766131e-016,   !- Vertex 3 Z-coordinate {m}</v>
      </c>
    </row>
    <row r="1079" spans="1:4" x14ac:dyDescent="0.3">
      <c r="A1079" t="s">
        <v>278</v>
      </c>
      <c r="D1079" t="str">
        <f t="shared" si="16"/>
        <v xml:space="preserve">    -5.05337993672583e-015,  !- Vertex 4 X-coordinate {m}</v>
      </c>
    </row>
    <row r="1080" spans="1:4" x14ac:dyDescent="0.3">
      <c r="A1080" t="s">
        <v>279</v>
      </c>
      <c r="D1080" t="str">
        <f t="shared" si="16"/>
        <v xml:space="preserve">    4.51194637207664e-017,   !- Vertex 4 Y-coordinate {m}</v>
      </c>
    </row>
    <row r="1081" spans="1:4" x14ac:dyDescent="0.3">
      <c r="A1081" t="s">
        <v>207</v>
      </c>
      <c r="D1081" t="str">
        <f t="shared" si="16"/>
        <v xml:space="preserve">    1.4;                     !- Vertex 4 Z-coordinate {m}</v>
      </c>
    </row>
    <row r="1082" spans="1:4" x14ac:dyDescent="0.3">
      <c r="D1082" t="str">
        <f t="shared" si="16"/>
        <v/>
      </c>
    </row>
    <row r="1083" spans="1:4" x14ac:dyDescent="0.3">
      <c r="A1083" t="s">
        <v>42</v>
      </c>
      <c r="D1083" t="str">
        <f t="shared" si="16"/>
        <v>BuildingSurface:Detailed,</v>
      </c>
    </row>
    <row r="1084" spans="1:4" x14ac:dyDescent="0.3">
      <c r="A1084" t="s">
        <v>280</v>
      </c>
      <c r="D1084" t="str">
        <f t="shared" si="16"/>
        <v xml:space="preserve">    ParedeIntTelhado2Telhado3,  !- Name</v>
      </c>
    </row>
    <row r="1085" spans="1:4" x14ac:dyDescent="0.3">
      <c r="A1085" t="s">
        <v>44</v>
      </c>
      <c r="D1085" t="str">
        <f t="shared" si="16"/>
        <v xml:space="preserve">    Wall,                    !- Surface Type</v>
      </c>
    </row>
    <row r="1086" spans="1:4" x14ac:dyDescent="0.3">
      <c r="A1086" t="str">
        <f>A1048574</f>
        <v>Parede  Tijolo cerâmico 9x14x24 c/ argamassa int e ext</v>
      </c>
      <c r="B1086" t="s">
        <v>428</v>
      </c>
      <c r="D1086" t="str">
        <f t="shared" si="16"/>
        <v>Parede  Tijolo cerâmico 9x14x24 c/ argamassa int e ext             ,  !- Construction Name</v>
      </c>
    </row>
    <row r="1087" spans="1:4" x14ac:dyDescent="0.3">
      <c r="A1087" t="s">
        <v>264</v>
      </c>
      <c r="D1087" t="str">
        <f t="shared" si="16"/>
        <v xml:space="preserve">    Telhado2,                !- Zone Name</v>
      </c>
    </row>
    <row r="1088" spans="1:4" x14ac:dyDescent="0.3">
      <c r="A1088" t="s">
        <v>46</v>
      </c>
      <c r="D1088" t="str">
        <f t="shared" si="16"/>
        <v xml:space="preserve">    Surface,                 !- Outside Boundary Condition</v>
      </c>
    </row>
    <row r="1089" spans="1:4" x14ac:dyDescent="0.3">
      <c r="A1089" t="s">
        <v>281</v>
      </c>
      <c r="D1089" t="str">
        <f t="shared" si="16"/>
        <v xml:space="preserve">    ParedeIntTelhado3Telhado2,  !- Outside Boundary Condition Object</v>
      </c>
    </row>
    <row r="1090" spans="1:4" x14ac:dyDescent="0.3">
      <c r="A1090" t="s">
        <v>48</v>
      </c>
      <c r="D1090" t="str">
        <f t="shared" ref="D1090:D1153" si="17">CONCATENATE(A1090,B1090)</f>
        <v xml:space="preserve">    NoSun,                   !- Sun Exposure</v>
      </c>
    </row>
    <row r="1091" spans="1:4" x14ac:dyDescent="0.3">
      <c r="A1091" t="s">
        <v>49</v>
      </c>
      <c r="D1091" t="str">
        <f t="shared" si="17"/>
        <v xml:space="preserve">    NoWind,                  !- Wind Exposure</v>
      </c>
    </row>
    <row r="1092" spans="1:4" x14ac:dyDescent="0.3">
      <c r="A1092" t="s">
        <v>50</v>
      </c>
      <c r="D1092" t="str">
        <f t="shared" si="17"/>
        <v xml:space="preserve">    ,                        !- View Factor to Ground</v>
      </c>
    </row>
    <row r="1093" spans="1:4" x14ac:dyDescent="0.3">
      <c r="A1093" t="s">
        <v>51</v>
      </c>
      <c r="D1093" t="str">
        <f t="shared" si="17"/>
        <v xml:space="preserve">    ,                        !- Number of Vertices</v>
      </c>
    </row>
    <row r="1094" spans="1:4" x14ac:dyDescent="0.3">
      <c r="A1094" t="s">
        <v>266</v>
      </c>
      <c r="D1094" t="str">
        <f t="shared" si="17"/>
        <v xml:space="preserve">    0.574999999999996,       !- Vertex 1 X-coordinate {m}</v>
      </c>
    </row>
    <row r="1095" spans="1:4" x14ac:dyDescent="0.3">
      <c r="A1095" t="s">
        <v>53</v>
      </c>
      <c r="D1095" t="str">
        <f t="shared" si="17"/>
        <v xml:space="preserve">    0.999999999999998,       !- Vertex 1 Y-coordinate {m}</v>
      </c>
    </row>
    <row r="1096" spans="1:4" x14ac:dyDescent="0.3">
      <c r="A1096" t="s">
        <v>236</v>
      </c>
      <c r="D1096" t="str">
        <f t="shared" si="17"/>
        <v xml:space="preserve">    1.1556904400607,         !- Vertex 1 Z-coordinate {m}</v>
      </c>
    </row>
    <row r="1097" spans="1:4" x14ac:dyDescent="0.3">
      <c r="A1097" t="s">
        <v>268</v>
      </c>
      <c r="D1097" t="str">
        <f t="shared" si="17"/>
        <v xml:space="preserve">    0.574999999999996,       !- Vertex 2 X-coordinate {m}</v>
      </c>
    </row>
    <row r="1098" spans="1:4" x14ac:dyDescent="0.3">
      <c r="A1098" t="s">
        <v>56</v>
      </c>
      <c r="D1098" t="str">
        <f t="shared" si="17"/>
        <v xml:space="preserve">    0.999999999999998,       !- Vertex 2 Y-coordinate {m}</v>
      </c>
    </row>
    <row r="1099" spans="1:4" x14ac:dyDescent="0.3">
      <c r="A1099" t="s">
        <v>57</v>
      </c>
      <c r="D1099" t="str">
        <f t="shared" si="17"/>
        <v xml:space="preserve">    0,                       !- Vertex 2 Z-coordinate {m}</v>
      </c>
    </row>
    <row r="1100" spans="1:4" x14ac:dyDescent="0.3">
      <c r="A1100" t="s">
        <v>282</v>
      </c>
      <c r="D1100" t="str">
        <f t="shared" si="17"/>
        <v xml:space="preserve">    0.574999999999996,       !- Vertex 3 X-coordinate {m}</v>
      </c>
    </row>
    <row r="1101" spans="1:4" x14ac:dyDescent="0.3">
      <c r="A1101" t="s">
        <v>68</v>
      </c>
      <c r="D1101" t="str">
        <f t="shared" si="17"/>
        <v xml:space="preserve">    6.73,                    !- Vertex 3 Y-coordinate {m}</v>
      </c>
    </row>
    <row r="1102" spans="1:4" x14ac:dyDescent="0.3">
      <c r="A1102" t="s">
        <v>273</v>
      </c>
      <c r="D1102" t="str">
        <f t="shared" si="17"/>
        <v xml:space="preserve">    3.60955709766131e-016,   !- Vertex 3 Z-coordinate {m}</v>
      </c>
    </row>
    <row r="1103" spans="1:4" x14ac:dyDescent="0.3">
      <c r="A1103" t="s">
        <v>283</v>
      </c>
      <c r="D1103" t="str">
        <f t="shared" si="17"/>
        <v xml:space="preserve">    0.574999999999996,       !- Vertex 4 X-coordinate {m}</v>
      </c>
    </row>
    <row r="1104" spans="1:4" x14ac:dyDescent="0.3">
      <c r="A1104" t="s">
        <v>69</v>
      </c>
      <c r="D1104" t="str">
        <f t="shared" si="17"/>
        <v xml:space="preserve">    6.73,                    !- Vertex 4 Y-coordinate {m}</v>
      </c>
    </row>
    <row r="1105" spans="1:4" x14ac:dyDescent="0.3">
      <c r="A1105" t="s">
        <v>242</v>
      </c>
      <c r="D1105" t="str">
        <f t="shared" si="17"/>
        <v xml:space="preserve">    1.1556904400607;         !- Vertex 4 Z-coordinate {m}</v>
      </c>
    </row>
    <row r="1106" spans="1:4" x14ac:dyDescent="0.3">
      <c r="D1106" t="str">
        <f t="shared" si="17"/>
        <v/>
      </c>
    </row>
    <row r="1107" spans="1:4" x14ac:dyDescent="0.3">
      <c r="A1107" t="s">
        <v>42</v>
      </c>
      <c r="D1107" t="str">
        <f t="shared" si="17"/>
        <v>BuildingSurface:Detailed,</v>
      </c>
    </row>
    <row r="1108" spans="1:4" x14ac:dyDescent="0.3">
      <c r="A1108" t="s">
        <v>284</v>
      </c>
      <c r="D1108" t="str">
        <f t="shared" si="17"/>
        <v xml:space="preserve">    ParedeTelhado2Leste,     !- Name</v>
      </c>
    </row>
    <row r="1109" spans="1:4" x14ac:dyDescent="0.3">
      <c r="A1109" t="s">
        <v>44</v>
      </c>
      <c r="D1109" t="str">
        <f t="shared" si="17"/>
        <v xml:space="preserve">    Wall,                    !- Surface Type</v>
      </c>
    </row>
    <row r="1110" spans="1:4" x14ac:dyDescent="0.3">
      <c r="A1110" t="str">
        <f>A1048574</f>
        <v>Parede  Tijolo cerâmico 9x14x24 c/ argamassa int e ext</v>
      </c>
      <c r="B1110" t="s">
        <v>428</v>
      </c>
      <c r="D1110" t="str">
        <f t="shared" si="17"/>
        <v>Parede  Tijolo cerâmico 9x14x24 c/ argamassa int e ext             ,  !- Construction Name</v>
      </c>
    </row>
    <row r="1111" spans="1:4" x14ac:dyDescent="0.3">
      <c r="A1111" t="s">
        <v>264</v>
      </c>
      <c r="D1111" t="str">
        <f t="shared" si="17"/>
        <v xml:space="preserve">    Telhado2,                !- Zone Name</v>
      </c>
    </row>
    <row r="1112" spans="1:4" x14ac:dyDescent="0.3">
      <c r="A1112" t="s">
        <v>71</v>
      </c>
      <c r="D1112" t="str">
        <f t="shared" si="17"/>
        <v xml:space="preserve">    Outdoors,                !- Outside Boundary Condition</v>
      </c>
    </row>
    <row r="1113" spans="1:4" x14ac:dyDescent="0.3">
      <c r="A1113" t="s">
        <v>72</v>
      </c>
      <c r="D1113" t="str">
        <f t="shared" si="17"/>
        <v xml:space="preserve">    ,                        !- Outside Boundary Condition Object</v>
      </c>
    </row>
    <row r="1114" spans="1:4" x14ac:dyDescent="0.3">
      <c r="A1114" t="s">
        <v>73</v>
      </c>
      <c r="D1114" t="str">
        <f t="shared" si="17"/>
        <v xml:space="preserve">    SunExposed,              !- Sun Exposure</v>
      </c>
    </row>
    <row r="1115" spans="1:4" x14ac:dyDescent="0.3">
      <c r="A1115" t="s">
        <v>74</v>
      </c>
      <c r="D1115" t="str">
        <f t="shared" si="17"/>
        <v xml:space="preserve">    WindExposed,             !- Wind Exposure</v>
      </c>
    </row>
    <row r="1116" spans="1:4" x14ac:dyDescent="0.3">
      <c r="A1116" t="s">
        <v>50</v>
      </c>
      <c r="D1116" t="str">
        <f t="shared" si="17"/>
        <v xml:space="preserve">    ,                        !- View Factor to Ground</v>
      </c>
    </row>
    <row r="1117" spans="1:4" x14ac:dyDescent="0.3">
      <c r="A1117" t="s">
        <v>51</v>
      </c>
      <c r="D1117" t="str">
        <f t="shared" si="17"/>
        <v xml:space="preserve">    ,                        !- Number of Vertices</v>
      </c>
    </row>
    <row r="1118" spans="1:4" x14ac:dyDescent="0.3">
      <c r="A1118" t="s">
        <v>266</v>
      </c>
      <c r="D1118" t="str">
        <f t="shared" si="17"/>
        <v xml:space="preserve">    0.574999999999996,       !- Vertex 1 X-coordinate {m}</v>
      </c>
    </row>
    <row r="1119" spans="1:4" x14ac:dyDescent="0.3">
      <c r="A1119" t="s">
        <v>285</v>
      </c>
      <c r="D1119" t="str">
        <f t="shared" si="17"/>
        <v xml:space="preserve">    1.24078525232107e-016,   !- Vertex 1 Y-coordinate {m}</v>
      </c>
    </row>
    <row r="1120" spans="1:4" x14ac:dyDescent="0.3">
      <c r="A1120" t="s">
        <v>236</v>
      </c>
      <c r="D1120" t="str">
        <f t="shared" si="17"/>
        <v xml:space="preserve">    1.1556904400607,         !- Vertex 1 Z-coordinate {m}</v>
      </c>
    </row>
    <row r="1121" spans="1:4" x14ac:dyDescent="0.3">
      <c r="A1121" t="s">
        <v>268</v>
      </c>
      <c r="D1121" t="str">
        <f t="shared" si="17"/>
        <v xml:space="preserve">    0.574999999999996,       !- Vertex 2 X-coordinate {m}</v>
      </c>
    </row>
    <row r="1122" spans="1:4" x14ac:dyDescent="0.3">
      <c r="A1122" t="s">
        <v>269</v>
      </c>
      <c r="D1122" t="str">
        <f t="shared" si="17"/>
        <v xml:space="preserve">    5.6399329650958e-017,    !- Vertex 2 Y-coordinate {m}</v>
      </c>
    </row>
    <row r="1123" spans="1:4" x14ac:dyDescent="0.3">
      <c r="A1123" t="s">
        <v>57</v>
      </c>
      <c r="D1123" t="str">
        <f t="shared" si="17"/>
        <v xml:space="preserve">    0,                       !- Vertex 2 Z-coordinate {m}</v>
      </c>
    </row>
    <row r="1124" spans="1:4" x14ac:dyDescent="0.3">
      <c r="A1124" t="s">
        <v>282</v>
      </c>
      <c r="D1124" t="str">
        <f t="shared" si="17"/>
        <v xml:space="preserve">    0.574999999999996,       !- Vertex 3 X-coordinate {m}</v>
      </c>
    </row>
    <row r="1125" spans="1:4" x14ac:dyDescent="0.3">
      <c r="A1125" t="s">
        <v>77</v>
      </c>
      <c r="D1125" t="str">
        <f t="shared" si="17"/>
        <v xml:space="preserve">    0.999999999999998,       !- Vertex 3 Y-coordinate {m}</v>
      </c>
    </row>
    <row r="1126" spans="1:4" x14ac:dyDescent="0.3">
      <c r="A1126" t="s">
        <v>60</v>
      </c>
      <c r="D1126" t="str">
        <f t="shared" si="17"/>
        <v xml:space="preserve">    0,                       !- Vertex 3 Z-coordinate {m}</v>
      </c>
    </row>
    <row r="1127" spans="1:4" x14ac:dyDescent="0.3">
      <c r="A1127" t="s">
        <v>283</v>
      </c>
      <c r="D1127" t="str">
        <f t="shared" si="17"/>
        <v xml:space="preserve">    0.574999999999996,       !- Vertex 4 X-coordinate {m}</v>
      </c>
    </row>
    <row r="1128" spans="1:4" x14ac:dyDescent="0.3">
      <c r="A1128" t="s">
        <v>78</v>
      </c>
      <c r="D1128" t="str">
        <f t="shared" si="17"/>
        <v xml:space="preserve">    0.999999999999998,       !- Vertex 4 Y-coordinate {m}</v>
      </c>
    </row>
    <row r="1129" spans="1:4" x14ac:dyDescent="0.3">
      <c r="A1129" t="s">
        <v>242</v>
      </c>
      <c r="D1129" t="str">
        <f t="shared" si="17"/>
        <v xml:space="preserve">    1.1556904400607;         !- Vertex 4 Z-coordinate {m}</v>
      </c>
    </row>
    <row r="1130" spans="1:4" x14ac:dyDescent="0.3">
      <c r="D1130" t="str">
        <f t="shared" si="17"/>
        <v/>
      </c>
    </row>
    <row r="1131" spans="1:4" x14ac:dyDescent="0.3">
      <c r="A1131" t="s">
        <v>42</v>
      </c>
      <c r="D1131" t="str">
        <f t="shared" si="17"/>
        <v>BuildingSurface:Detailed,</v>
      </c>
    </row>
    <row r="1132" spans="1:4" x14ac:dyDescent="0.3">
      <c r="A1132" t="s">
        <v>286</v>
      </c>
      <c r="D1132" t="str">
        <f t="shared" si="17"/>
        <v xml:space="preserve">    ParedeTelhado2Norte,     !- Name</v>
      </c>
    </row>
    <row r="1133" spans="1:4" x14ac:dyDescent="0.3">
      <c r="A1133" t="s">
        <v>44</v>
      </c>
      <c r="D1133" t="str">
        <f t="shared" si="17"/>
        <v xml:space="preserve">    Wall,                    !- Surface Type</v>
      </c>
    </row>
    <row r="1134" spans="1:4" x14ac:dyDescent="0.3">
      <c r="A1134" t="str">
        <f>A1048574</f>
        <v>Parede  Tijolo cerâmico 9x14x24 c/ argamassa int e ext</v>
      </c>
      <c r="B1134" t="s">
        <v>428</v>
      </c>
      <c r="D1134" t="str">
        <f t="shared" si="17"/>
        <v>Parede  Tijolo cerâmico 9x14x24 c/ argamassa int e ext             ,  !- Construction Name</v>
      </c>
    </row>
    <row r="1135" spans="1:4" x14ac:dyDescent="0.3">
      <c r="A1135" t="s">
        <v>264</v>
      </c>
      <c r="D1135" t="str">
        <f t="shared" si="17"/>
        <v xml:space="preserve">    Telhado2,                !- Zone Name</v>
      </c>
    </row>
    <row r="1136" spans="1:4" x14ac:dyDescent="0.3">
      <c r="A1136" t="s">
        <v>71</v>
      </c>
      <c r="D1136" t="str">
        <f t="shared" si="17"/>
        <v xml:space="preserve">    Outdoors,                !- Outside Boundary Condition</v>
      </c>
    </row>
    <row r="1137" spans="1:4" x14ac:dyDescent="0.3">
      <c r="A1137" t="s">
        <v>72</v>
      </c>
      <c r="D1137" t="str">
        <f t="shared" si="17"/>
        <v xml:space="preserve">    ,                        !- Outside Boundary Condition Object</v>
      </c>
    </row>
    <row r="1138" spans="1:4" x14ac:dyDescent="0.3">
      <c r="A1138" t="s">
        <v>73</v>
      </c>
      <c r="D1138" t="str">
        <f t="shared" si="17"/>
        <v xml:space="preserve">    SunExposed,              !- Sun Exposure</v>
      </c>
    </row>
    <row r="1139" spans="1:4" x14ac:dyDescent="0.3">
      <c r="A1139" t="s">
        <v>74</v>
      </c>
      <c r="D1139" t="str">
        <f t="shared" si="17"/>
        <v xml:space="preserve">    WindExposed,             !- Wind Exposure</v>
      </c>
    </row>
    <row r="1140" spans="1:4" x14ac:dyDescent="0.3">
      <c r="A1140" t="s">
        <v>50</v>
      </c>
      <c r="D1140" t="str">
        <f t="shared" si="17"/>
        <v xml:space="preserve">    ,                        !- View Factor to Ground</v>
      </c>
    </row>
    <row r="1141" spans="1:4" x14ac:dyDescent="0.3">
      <c r="A1141" t="s">
        <v>51</v>
      </c>
      <c r="D1141" t="str">
        <f t="shared" si="17"/>
        <v xml:space="preserve">    ,                        !- Number of Vertices</v>
      </c>
    </row>
    <row r="1142" spans="1:4" x14ac:dyDescent="0.3">
      <c r="A1142" t="s">
        <v>135</v>
      </c>
      <c r="D1142" t="str">
        <f t="shared" si="17"/>
        <v xml:space="preserve">    -4.33146851719357e-015,  !- Vertex 1 X-coordinate {m}</v>
      </c>
    </row>
    <row r="1143" spans="1:4" x14ac:dyDescent="0.3">
      <c r="A1143" t="s">
        <v>80</v>
      </c>
      <c r="D1143" t="str">
        <f t="shared" si="17"/>
        <v xml:space="preserve">    6.73,                    !- Vertex 1 Y-coordinate {m}</v>
      </c>
    </row>
    <row r="1144" spans="1:4" x14ac:dyDescent="0.3">
      <c r="A1144" t="s">
        <v>206</v>
      </c>
      <c r="D1144" t="str">
        <f t="shared" si="17"/>
        <v xml:space="preserve">    1.4,                     !- Vertex 1 Z-coordinate {m}</v>
      </c>
    </row>
    <row r="1145" spans="1:4" x14ac:dyDescent="0.3">
      <c r="A1145" t="s">
        <v>268</v>
      </c>
      <c r="D1145" t="str">
        <f t="shared" si="17"/>
        <v xml:space="preserve">    0.574999999999996,       !- Vertex 2 X-coordinate {m}</v>
      </c>
    </row>
    <row r="1146" spans="1:4" x14ac:dyDescent="0.3">
      <c r="A1146" t="s">
        <v>81</v>
      </c>
      <c r="D1146" t="str">
        <f t="shared" si="17"/>
        <v xml:space="preserve">    6.73,                    !- Vertex 2 Y-coordinate {m}</v>
      </c>
    </row>
    <row r="1147" spans="1:4" x14ac:dyDescent="0.3">
      <c r="A1147" t="s">
        <v>287</v>
      </c>
      <c r="D1147" t="str">
        <f t="shared" si="17"/>
        <v xml:space="preserve">    1.1556904400607,         !- Vertex 2 Z-coordinate {m}</v>
      </c>
    </row>
    <row r="1148" spans="1:4" x14ac:dyDescent="0.3">
      <c r="A1148" t="s">
        <v>282</v>
      </c>
      <c r="D1148" t="str">
        <f t="shared" si="17"/>
        <v xml:space="preserve">    0.574999999999996,       !- Vertex 3 X-coordinate {m}</v>
      </c>
    </row>
    <row r="1149" spans="1:4" x14ac:dyDescent="0.3">
      <c r="A1149" t="s">
        <v>68</v>
      </c>
      <c r="D1149" t="str">
        <f t="shared" si="17"/>
        <v xml:space="preserve">    6.73,                    !- Vertex 3 Y-coordinate {m}</v>
      </c>
    </row>
    <row r="1150" spans="1:4" x14ac:dyDescent="0.3">
      <c r="A1150" t="s">
        <v>273</v>
      </c>
      <c r="D1150" t="str">
        <f t="shared" si="17"/>
        <v xml:space="preserve">    3.60955709766131e-016,   !- Vertex 3 Z-coordinate {m}</v>
      </c>
    </row>
    <row r="1151" spans="1:4" x14ac:dyDescent="0.3">
      <c r="A1151" t="s">
        <v>131</v>
      </c>
      <c r="D1151" t="str">
        <f t="shared" si="17"/>
        <v xml:space="preserve">    -4.33146851719357e-015,  !- Vertex 4 X-coordinate {m}</v>
      </c>
    </row>
    <row r="1152" spans="1:4" x14ac:dyDescent="0.3">
      <c r="A1152" t="s">
        <v>69</v>
      </c>
      <c r="D1152" t="str">
        <f t="shared" si="17"/>
        <v xml:space="preserve">    6.73,                    !- Vertex 4 Y-coordinate {m}</v>
      </c>
    </row>
    <row r="1153" spans="1:4" x14ac:dyDescent="0.3">
      <c r="A1153" t="s">
        <v>274</v>
      </c>
      <c r="D1153" t="str">
        <f t="shared" si="17"/>
        <v xml:space="preserve">    7.21911419532262e-016;   !- Vertex 4 Z-coordinate {m}</v>
      </c>
    </row>
    <row r="1154" spans="1:4" x14ac:dyDescent="0.3">
      <c r="D1154" t="str">
        <f t="shared" ref="D1154:D1201" si="18">CONCATENATE(A1154,B1154)</f>
        <v/>
      </c>
    </row>
    <row r="1155" spans="1:4" x14ac:dyDescent="0.3">
      <c r="A1155" t="s">
        <v>42</v>
      </c>
      <c r="D1155" t="str">
        <f t="shared" si="18"/>
        <v>BuildingSurface:Detailed,</v>
      </c>
    </row>
    <row r="1156" spans="1:4" x14ac:dyDescent="0.3">
      <c r="A1156" t="s">
        <v>288</v>
      </c>
      <c r="D1156" t="str">
        <f t="shared" si="18"/>
        <v xml:space="preserve">    ParedeTelhado2Sul 1,     !- Name</v>
      </c>
    </row>
    <row r="1157" spans="1:4" x14ac:dyDescent="0.3">
      <c r="A1157" t="s">
        <v>44</v>
      </c>
      <c r="D1157" t="str">
        <f t="shared" si="18"/>
        <v xml:space="preserve">    Wall,                    !- Surface Type</v>
      </c>
    </row>
    <row r="1158" spans="1:4" x14ac:dyDescent="0.3">
      <c r="A1158" t="str">
        <f>A1048574</f>
        <v>Parede  Tijolo cerâmico 9x14x24 c/ argamassa int e ext</v>
      </c>
      <c r="B1158" t="s">
        <v>428</v>
      </c>
      <c r="D1158" t="str">
        <f t="shared" si="18"/>
        <v>Parede  Tijolo cerâmico 9x14x24 c/ argamassa int e ext             ,  !- Construction Name</v>
      </c>
    </row>
    <row r="1159" spans="1:4" x14ac:dyDescent="0.3">
      <c r="A1159" t="s">
        <v>264</v>
      </c>
      <c r="D1159" t="str">
        <f t="shared" si="18"/>
        <v xml:space="preserve">    Telhado2,                !- Zone Name</v>
      </c>
    </row>
    <row r="1160" spans="1:4" x14ac:dyDescent="0.3">
      <c r="A1160" t="s">
        <v>71</v>
      </c>
      <c r="D1160" t="str">
        <f t="shared" si="18"/>
        <v xml:space="preserve">    Outdoors,                !- Outside Boundary Condition</v>
      </c>
    </row>
    <row r="1161" spans="1:4" x14ac:dyDescent="0.3">
      <c r="A1161" t="s">
        <v>72</v>
      </c>
      <c r="D1161" t="str">
        <f t="shared" si="18"/>
        <v xml:space="preserve">    ,                        !- Outside Boundary Condition Object</v>
      </c>
    </row>
    <row r="1162" spans="1:4" x14ac:dyDescent="0.3">
      <c r="A1162" t="s">
        <v>73</v>
      </c>
      <c r="D1162" t="str">
        <f t="shared" si="18"/>
        <v xml:space="preserve">    SunExposed,              !- Sun Exposure</v>
      </c>
    </row>
    <row r="1163" spans="1:4" x14ac:dyDescent="0.3">
      <c r="A1163" t="s">
        <v>74</v>
      </c>
      <c r="D1163" t="str">
        <f t="shared" si="18"/>
        <v xml:space="preserve">    WindExposed,             !- Wind Exposure</v>
      </c>
    </row>
    <row r="1164" spans="1:4" x14ac:dyDescent="0.3">
      <c r="A1164" t="s">
        <v>50</v>
      </c>
      <c r="D1164" t="str">
        <f t="shared" si="18"/>
        <v xml:space="preserve">    ,                        !- View Factor to Ground</v>
      </c>
    </row>
    <row r="1165" spans="1:4" x14ac:dyDescent="0.3">
      <c r="A1165" t="s">
        <v>51</v>
      </c>
      <c r="D1165" t="str">
        <f t="shared" si="18"/>
        <v xml:space="preserve">    ,                        !- Number of Vertices</v>
      </c>
    </row>
    <row r="1166" spans="1:4" x14ac:dyDescent="0.3">
      <c r="A1166" t="s">
        <v>289</v>
      </c>
      <c r="D1166" t="str">
        <f t="shared" si="18"/>
        <v xml:space="preserve">    -5.05337993672583e-015,  !- Vertex 1 X-coordinate {m}</v>
      </c>
    </row>
    <row r="1167" spans="1:4" x14ac:dyDescent="0.3">
      <c r="A1167" t="s">
        <v>290</v>
      </c>
      <c r="D1167" t="str">
        <f t="shared" si="18"/>
        <v xml:space="preserve">    4.51194637207664e-017,   !- Vertex 1 Y-coordinate {m}</v>
      </c>
    </row>
    <row r="1168" spans="1:4" x14ac:dyDescent="0.3">
      <c r="A1168" t="s">
        <v>206</v>
      </c>
      <c r="D1168" t="str">
        <f t="shared" si="18"/>
        <v xml:space="preserve">    1.4,                     !- Vertex 1 Z-coordinate {m}</v>
      </c>
    </row>
    <row r="1169" spans="1:4" x14ac:dyDescent="0.3">
      <c r="A1169" t="s">
        <v>291</v>
      </c>
      <c r="D1169" t="str">
        <f t="shared" si="18"/>
        <v xml:space="preserve">    -5.05337993672583e-015,  !- Vertex 2 X-coordinate {m}</v>
      </c>
    </row>
    <row r="1170" spans="1:4" x14ac:dyDescent="0.3">
      <c r="A1170" t="s">
        <v>292</v>
      </c>
      <c r="D1170" t="str">
        <f t="shared" si="18"/>
        <v xml:space="preserve">    -4.51194637207664e-017,  !- Vertex 2 Y-coordinate {m}</v>
      </c>
    </row>
    <row r="1171" spans="1:4" x14ac:dyDescent="0.3">
      <c r="A1171" t="s">
        <v>203</v>
      </c>
      <c r="D1171" t="str">
        <f t="shared" si="18"/>
        <v xml:space="preserve">    3.60955709766131e-016,   !- Vertex 2 Z-coordinate {m}</v>
      </c>
    </row>
    <row r="1172" spans="1:4" x14ac:dyDescent="0.3">
      <c r="A1172" t="s">
        <v>282</v>
      </c>
      <c r="D1172" t="str">
        <f t="shared" si="18"/>
        <v xml:space="preserve">    0.574999999999996,       !- Vertex 3 X-coordinate {m}</v>
      </c>
    </row>
    <row r="1173" spans="1:4" x14ac:dyDescent="0.3">
      <c r="A1173" t="s">
        <v>293</v>
      </c>
      <c r="D1173" t="str">
        <f t="shared" si="18"/>
        <v xml:space="preserve">    5.6399329650958e-017,    !- Vertex 3 Y-coordinate {m}</v>
      </c>
    </row>
    <row r="1174" spans="1:4" x14ac:dyDescent="0.3">
      <c r="A1174" t="s">
        <v>60</v>
      </c>
      <c r="D1174" t="str">
        <f t="shared" si="18"/>
        <v xml:space="preserve">    0,                       !- Vertex 3 Z-coordinate {m}</v>
      </c>
    </row>
    <row r="1175" spans="1:4" x14ac:dyDescent="0.3">
      <c r="A1175" t="s">
        <v>283</v>
      </c>
      <c r="D1175" t="str">
        <f t="shared" si="18"/>
        <v xml:space="preserve">    0.574999999999996,       !- Vertex 4 X-coordinate {m}</v>
      </c>
    </row>
    <row r="1176" spans="1:4" x14ac:dyDescent="0.3">
      <c r="A1176" t="s">
        <v>294</v>
      </c>
      <c r="D1176" t="str">
        <f t="shared" si="18"/>
        <v xml:space="preserve">    1.24078525232107e-016,   !- Vertex 4 Y-coordinate {m}</v>
      </c>
    </row>
    <row r="1177" spans="1:4" x14ac:dyDescent="0.3">
      <c r="A1177" t="s">
        <v>242</v>
      </c>
      <c r="D1177" t="str">
        <f t="shared" si="18"/>
        <v xml:space="preserve">    1.1556904400607;         !- Vertex 4 Z-coordinate {m}</v>
      </c>
    </row>
    <row r="1178" spans="1:4" x14ac:dyDescent="0.3">
      <c r="D1178" t="str">
        <f t="shared" si="18"/>
        <v/>
      </c>
    </row>
    <row r="1179" spans="1:4" x14ac:dyDescent="0.3">
      <c r="A1179" t="s">
        <v>42</v>
      </c>
      <c r="D1179" t="str">
        <f t="shared" si="18"/>
        <v>BuildingSurface:Detailed,</v>
      </c>
    </row>
    <row r="1180" spans="1:4" x14ac:dyDescent="0.3">
      <c r="A1180" t="s">
        <v>295</v>
      </c>
      <c r="D1180" t="str">
        <f t="shared" si="18"/>
        <v xml:space="preserve">    Telha2,                  !- Name</v>
      </c>
    </row>
    <row r="1181" spans="1:4" x14ac:dyDescent="0.3">
      <c r="A1181" t="s">
        <v>213</v>
      </c>
      <c r="D1181" t="str">
        <f t="shared" si="18"/>
        <v xml:space="preserve">    Roof,                    !- Surface Type</v>
      </c>
    </row>
    <row r="1182" spans="1:4" x14ac:dyDescent="0.3">
      <c r="A1182" t="str">
        <f>D1048574</f>
        <v>Telha ceramica</v>
      </c>
      <c r="B1182" t="s">
        <v>422</v>
      </c>
      <c r="D1182" t="str">
        <f t="shared" si="18"/>
        <v>Telha ceramica,!- Construction Name</v>
      </c>
    </row>
    <row r="1183" spans="1:4" x14ac:dyDescent="0.3">
      <c r="A1183" t="s">
        <v>264</v>
      </c>
      <c r="D1183" t="str">
        <f t="shared" si="18"/>
        <v xml:space="preserve">    Telhado2,                !- Zone Name</v>
      </c>
    </row>
    <row r="1184" spans="1:4" x14ac:dyDescent="0.3">
      <c r="A1184" t="s">
        <v>71</v>
      </c>
      <c r="D1184" t="str">
        <f t="shared" si="18"/>
        <v xml:space="preserve">    Outdoors,                !- Outside Boundary Condition</v>
      </c>
    </row>
    <row r="1185" spans="1:4" x14ac:dyDescent="0.3">
      <c r="A1185" t="s">
        <v>72</v>
      </c>
      <c r="D1185" t="str">
        <f t="shared" si="18"/>
        <v xml:space="preserve">    ,                        !- Outside Boundary Condition Object</v>
      </c>
    </row>
    <row r="1186" spans="1:4" x14ac:dyDescent="0.3">
      <c r="A1186" t="s">
        <v>73</v>
      </c>
      <c r="D1186" t="str">
        <f t="shared" si="18"/>
        <v xml:space="preserve">    SunExposed,              !- Sun Exposure</v>
      </c>
    </row>
    <row r="1187" spans="1:4" x14ac:dyDescent="0.3">
      <c r="A1187" t="s">
        <v>74</v>
      </c>
      <c r="D1187" t="str">
        <f t="shared" si="18"/>
        <v xml:space="preserve">    WindExposed,             !- Wind Exposure</v>
      </c>
    </row>
    <row r="1188" spans="1:4" x14ac:dyDescent="0.3">
      <c r="A1188" t="s">
        <v>50</v>
      </c>
      <c r="D1188" t="str">
        <f t="shared" si="18"/>
        <v xml:space="preserve">    ,                        !- View Factor to Ground</v>
      </c>
    </row>
    <row r="1189" spans="1:4" x14ac:dyDescent="0.3">
      <c r="A1189" t="s">
        <v>51</v>
      </c>
      <c r="D1189" t="str">
        <f t="shared" si="18"/>
        <v xml:space="preserve">    ,                        !- Number of Vertices</v>
      </c>
    </row>
    <row r="1190" spans="1:4" x14ac:dyDescent="0.3">
      <c r="A1190" t="s">
        <v>289</v>
      </c>
      <c r="D1190" t="str">
        <f t="shared" si="18"/>
        <v xml:space="preserve">    -5.05337993672583e-015,  !- Vertex 1 X-coordinate {m}</v>
      </c>
    </row>
    <row r="1191" spans="1:4" x14ac:dyDescent="0.3">
      <c r="A1191" t="s">
        <v>290</v>
      </c>
      <c r="D1191" t="str">
        <f t="shared" si="18"/>
        <v xml:space="preserve">    4.51194637207664e-017,   !- Vertex 1 Y-coordinate {m}</v>
      </c>
    </row>
    <row r="1192" spans="1:4" x14ac:dyDescent="0.3">
      <c r="A1192" t="s">
        <v>206</v>
      </c>
      <c r="D1192" t="str">
        <f t="shared" si="18"/>
        <v xml:space="preserve">    1.4,                     !- Vertex 1 Z-coordinate {m}</v>
      </c>
    </row>
    <row r="1193" spans="1:4" x14ac:dyDescent="0.3">
      <c r="A1193" t="s">
        <v>268</v>
      </c>
      <c r="D1193" t="str">
        <f t="shared" si="18"/>
        <v xml:space="preserve">    0.574999999999996,       !- Vertex 2 X-coordinate {m}</v>
      </c>
    </row>
    <row r="1194" spans="1:4" x14ac:dyDescent="0.3">
      <c r="A1194" t="s">
        <v>296</v>
      </c>
      <c r="D1194" t="str">
        <f t="shared" si="18"/>
        <v xml:space="preserve">    1.24078525232107e-016,   !- Vertex 2 Y-coordinate {m}</v>
      </c>
    </row>
    <row r="1195" spans="1:4" x14ac:dyDescent="0.3">
      <c r="A1195" t="s">
        <v>287</v>
      </c>
      <c r="D1195" t="str">
        <f t="shared" si="18"/>
        <v xml:space="preserve">    1.1556904400607,         !- Vertex 2 Z-coordinate {m}</v>
      </c>
    </row>
    <row r="1196" spans="1:4" x14ac:dyDescent="0.3">
      <c r="A1196" t="s">
        <v>282</v>
      </c>
      <c r="D1196" t="str">
        <f t="shared" si="18"/>
        <v xml:space="preserve">    0.574999999999996,       !- Vertex 3 X-coordinate {m}</v>
      </c>
    </row>
    <row r="1197" spans="1:4" x14ac:dyDescent="0.3">
      <c r="A1197" t="s">
        <v>68</v>
      </c>
      <c r="D1197" t="str">
        <f t="shared" si="18"/>
        <v xml:space="preserve">    6.73,                    !- Vertex 3 Y-coordinate {m}</v>
      </c>
    </row>
    <row r="1198" spans="1:4" x14ac:dyDescent="0.3">
      <c r="A1198" t="s">
        <v>297</v>
      </c>
      <c r="D1198" t="str">
        <f t="shared" si="18"/>
        <v xml:space="preserve">    1.1556904400607,         !- Vertex 3 Z-coordinate {m}</v>
      </c>
    </row>
    <row r="1199" spans="1:4" x14ac:dyDescent="0.3">
      <c r="A1199" t="s">
        <v>131</v>
      </c>
      <c r="D1199" t="str">
        <f t="shared" si="18"/>
        <v xml:space="preserve">    -4.33146851719357e-015,  !- Vertex 4 X-coordinate {m}</v>
      </c>
    </row>
    <row r="1200" spans="1:4" x14ac:dyDescent="0.3">
      <c r="A1200" t="s">
        <v>69</v>
      </c>
      <c r="D1200" t="str">
        <f t="shared" si="18"/>
        <v xml:space="preserve">    6.73,                    !- Vertex 4 Y-coordinate {m}</v>
      </c>
    </row>
    <row r="1201" spans="1:4" x14ac:dyDescent="0.3">
      <c r="A1201" t="s">
        <v>207</v>
      </c>
      <c r="D1201" t="str">
        <f t="shared" si="18"/>
        <v xml:space="preserve">    1.4;                     !- Vertex 4 Z-coordinate {m}</v>
      </c>
    </row>
    <row r="1048567" spans="1:4" x14ac:dyDescent="0.3">
      <c r="A1048567" s="5" t="s">
        <v>418</v>
      </c>
      <c r="B1048567" t="s">
        <v>423</v>
      </c>
      <c r="D1048567" t="s">
        <v>429</v>
      </c>
    </row>
    <row r="1048568" spans="1:4" x14ac:dyDescent="0.3">
      <c r="A1048568" s="5" t="s">
        <v>417</v>
      </c>
      <c r="B1048568" t="s">
        <v>424</v>
      </c>
      <c r="D1048568" t="s">
        <v>430</v>
      </c>
    </row>
    <row r="1048569" spans="1:4" x14ac:dyDescent="0.3">
      <c r="A1048569" s="5" t="s">
        <v>419</v>
      </c>
      <c r="B1048569" t="s">
        <v>425</v>
      </c>
    </row>
    <row r="1048570" spans="1:4" x14ac:dyDescent="0.3">
      <c r="A1048570" s="5" t="s">
        <v>420</v>
      </c>
    </row>
    <row r="1048571" spans="1:4" x14ac:dyDescent="0.3">
      <c r="A1048571" s="5" t="s">
        <v>1241</v>
      </c>
    </row>
    <row r="1048572" spans="1:4" x14ac:dyDescent="0.3">
      <c r="A1048572" s="5" t="s">
        <v>1240</v>
      </c>
    </row>
    <row r="1048573" spans="1:4" x14ac:dyDescent="0.3">
      <c r="A1048573" s="5">
        <v>1</v>
      </c>
      <c r="B1048573">
        <v>1</v>
      </c>
      <c r="D1048573">
        <v>1</v>
      </c>
    </row>
    <row r="1048574" spans="1:4" x14ac:dyDescent="0.3">
      <c r="A1048574" s="5" t="str">
        <f>IF($A$1048573=1,$A$1048567,IF($A$1048573=2,$A$1048568,IF($A$1048573=3,$A$1048569,IF($A$1048573=4,$A$1048570,IF($A$1048573=5,$A$1048571,IF($A$1048573=6,$A$1048572,"xxxxx"))))))</f>
        <v>Parede  Tijolo cerâmico 9x14x24 c/ argamassa int e ext</v>
      </c>
      <c r="B1048574" t="str">
        <f>IF($B$1048573=1,$B$1048567,IF($B$1048573=2,$B$1048568,IF($B$1048573=3,$B$1048569,"xxxxxxxxxxx")))</f>
        <v>Forro PVC</v>
      </c>
      <c r="D1048574" t="str">
        <f>IF($D$1048573=1,$D$1048567,IF($D$1048573=2,$D$1048568,"xxxx"))</f>
        <v>Telha ceramica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25C39-9766-4A8D-B2E6-77FFCA3D8301}">
  <sheetPr codeName="Planilha3"/>
  <dimension ref="A1:P1048576"/>
  <sheetViews>
    <sheetView topLeftCell="A364" workbookViewId="0">
      <selection activeCell="A367" sqref="A367"/>
    </sheetView>
  </sheetViews>
  <sheetFormatPr defaultRowHeight="14.4" x14ac:dyDescent="0.3"/>
  <cols>
    <col min="3" max="3" width="16.88671875" customWidth="1"/>
  </cols>
  <sheetData>
    <row r="1" spans="1:16" x14ac:dyDescent="0.3">
      <c r="A1" t="s">
        <v>339</v>
      </c>
      <c r="B1" t="s">
        <v>340</v>
      </c>
      <c r="D1" t="s">
        <v>341</v>
      </c>
      <c r="E1" t="s">
        <v>342</v>
      </c>
      <c r="I1" t="str">
        <f t="shared" ref="I1:I65" si="0">CONCATENATE(A1,B1,C1,D1,E1,F1,G1)</f>
        <v>!-   ===========  ALL OBJECTSIN CLASS: MATERIAL ===========</v>
      </c>
      <c r="P1" t="s">
        <v>1239</v>
      </c>
    </row>
    <row r="2" spans="1:16" x14ac:dyDescent="0.3">
      <c r="A2" t="s">
        <v>343</v>
      </c>
      <c r="B2" t="s">
        <v>344</v>
      </c>
      <c r="I2" t="str">
        <f t="shared" si="0"/>
        <v>Material,</v>
      </c>
    </row>
    <row r="3" spans="1:16" x14ac:dyDescent="0.3">
      <c r="A3" t="s">
        <v>345</v>
      </c>
      <c r="B3" t="s">
        <v>346</v>
      </c>
      <c r="D3" t="s">
        <v>347</v>
      </c>
      <c r="E3" t="s">
        <v>348</v>
      </c>
      <c r="I3" t="str">
        <f t="shared" si="0"/>
        <v>Cerâmica tijolo 9x9x24 parede sem revestimento,  !- Name</v>
      </c>
    </row>
    <row r="4" spans="1:16" x14ac:dyDescent="0.3">
      <c r="A4" t="s">
        <v>349</v>
      </c>
      <c r="B4" t="s">
        <v>350</v>
      </c>
      <c r="D4" t="s">
        <v>7</v>
      </c>
      <c r="E4" t="s">
        <v>326</v>
      </c>
      <c r="I4" t="str">
        <f t="shared" si="0"/>
        <v>Rough,!-Roughness</v>
      </c>
    </row>
    <row r="5" spans="1:16" x14ac:dyDescent="0.3">
      <c r="A5" t="s">
        <v>351</v>
      </c>
      <c r="B5">
        <v>14</v>
      </c>
      <c r="C5" t="s">
        <v>12</v>
      </c>
      <c r="D5" t="s">
        <v>7</v>
      </c>
      <c r="E5" t="s">
        <v>327</v>
      </c>
      <c r="I5" t="str">
        <f t="shared" si="0"/>
        <v>0.014,!-Thickness {m}</v>
      </c>
    </row>
    <row r="6" spans="1:16" x14ac:dyDescent="0.3">
      <c r="A6" t="s">
        <v>352</v>
      </c>
      <c r="B6" t="s">
        <v>12</v>
      </c>
      <c r="D6" t="s">
        <v>7</v>
      </c>
      <c r="E6" t="s">
        <v>328</v>
      </c>
      <c r="I6" t="str">
        <f t="shared" si="0"/>
        <v>0.9,!-Conductivity {W/m-K}</v>
      </c>
    </row>
    <row r="7" spans="1:16" x14ac:dyDescent="0.3">
      <c r="A7">
        <v>160</v>
      </c>
      <c r="B7">
        <v>0</v>
      </c>
      <c r="C7" t="s">
        <v>12</v>
      </c>
      <c r="D7" t="s">
        <v>7</v>
      </c>
      <c r="E7" t="s">
        <v>329</v>
      </c>
      <c r="I7" t="str">
        <f t="shared" si="0"/>
        <v>1600,!-Density {kg/m3}</v>
      </c>
    </row>
    <row r="8" spans="1:16" x14ac:dyDescent="0.3">
      <c r="A8">
        <v>920</v>
      </c>
      <c r="B8" t="s">
        <v>12</v>
      </c>
      <c r="D8" t="s">
        <v>7</v>
      </c>
      <c r="E8" t="s">
        <v>353</v>
      </c>
      <c r="I8" t="str">
        <f t="shared" si="0"/>
        <v>920,!-Specific Heat {J/kg-K}</v>
      </c>
    </row>
    <row r="9" spans="1:16" x14ac:dyDescent="0.3">
      <c r="A9" t="s">
        <v>352</v>
      </c>
      <c r="B9" t="s">
        <v>12</v>
      </c>
      <c r="D9" t="s">
        <v>7</v>
      </c>
      <c r="E9" t="s">
        <v>330</v>
      </c>
      <c r="I9" t="str">
        <f t="shared" si="0"/>
        <v>0.9,!-Thermal Absorptance</v>
      </c>
    </row>
    <row r="10" spans="1:16" x14ac:dyDescent="0.3">
      <c r="A10" t="s">
        <v>354</v>
      </c>
      <c r="B10" t="s">
        <v>12</v>
      </c>
      <c r="D10" t="s">
        <v>7</v>
      </c>
      <c r="E10" t="s">
        <v>331</v>
      </c>
      <c r="I10" t="str">
        <f t="shared" si="0"/>
        <v>0.7,!-Solar Absorptance</v>
      </c>
    </row>
    <row r="11" spans="1:16" x14ac:dyDescent="0.3">
      <c r="A11" t="s">
        <v>354</v>
      </c>
      <c r="B11" t="s">
        <v>18</v>
      </c>
      <c r="D11" t="s">
        <v>7</v>
      </c>
      <c r="E11" t="s">
        <v>332</v>
      </c>
      <c r="I11" t="str">
        <f t="shared" si="0"/>
        <v>0.7;!-Visible Absorptance</v>
      </c>
    </row>
    <row r="12" spans="1:16" x14ac:dyDescent="0.3">
      <c r="I12" t="str">
        <f t="shared" si="0"/>
        <v/>
      </c>
    </row>
    <row r="13" spans="1:16" x14ac:dyDescent="0.3">
      <c r="A13" t="s">
        <v>343</v>
      </c>
      <c r="B13" t="s">
        <v>344</v>
      </c>
      <c r="I13" t="str">
        <f t="shared" si="0"/>
        <v>Material,</v>
      </c>
    </row>
    <row r="14" spans="1:16" x14ac:dyDescent="0.3">
      <c r="A14" t="s">
        <v>345</v>
      </c>
      <c r="B14" t="s">
        <v>355</v>
      </c>
      <c r="D14" t="s">
        <v>7</v>
      </c>
      <c r="E14" t="s">
        <v>8</v>
      </c>
      <c r="I14" t="str">
        <f t="shared" si="0"/>
        <v>Cerâmica tijolo 9x14x24 ,!-Name</v>
      </c>
    </row>
    <row r="15" spans="1:16" x14ac:dyDescent="0.3">
      <c r="A15" t="s">
        <v>349</v>
      </c>
      <c r="B15" t="s">
        <v>350</v>
      </c>
      <c r="D15" t="s">
        <v>7</v>
      </c>
      <c r="E15" t="s">
        <v>326</v>
      </c>
      <c r="I15" t="str">
        <f t="shared" si="0"/>
        <v>Rough,!-Roughness</v>
      </c>
    </row>
    <row r="16" spans="1:16" x14ac:dyDescent="0.3">
      <c r="A16" t="s">
        <v>351</v>
      </c>
      <c r="B16">
        <v>134</v>
      </c>
      <c r="C16" t="s">
        <v>12</v>
      </c>
      <c r="D16" t="s">
        <v>7</v>
      </c>
      <c r="E16" t="s">
        <v>327</v>
      </c>
      <c r="I16" t="str">
        <f t="shared" si="0"/>
        <v>0.0134,!-Thickness {m}</v>
      </c>
    </row>
    <row r="17" spans="1:9" x14ac:dyDescent="0.3">
      <c r="A17" t="s">
        <v>352</v>
      </c>
      <c r="B17" t="s">
        <v>12</v>
      </c>
      <c r="D17" t="s">
        <v>7</v>
      </c>
      <c r="E17" t="s">
        <v>328</v>
      </c>
      <c r="I17" t="str">
        <f t="shared" si="0"/>
        <v>0.9,!-Conductivity {W/m-K}</v>
      </c>
    </row>
    <row r="18" spans="1:9" x14ac:dyDescent="0.3">
      <c r="A18">
        <v>160</v>
      </c>
      <c r="B18">
        <v>0</v>
      </c>
      <c r="C18" t="s">
        <v>12</v>
      </c>
      <c r="D18" t="s">
        <v>7</v>
      </c>
      <c r="E18" t="s">
        <v>329</v>
      </c>
      <c r="I18" t="str">
        <f t="shared" si="0"/>
        <v>1600,!-Density {kg/m3}</v>
      </c>
    </row>
    <row r="19" spans="1:9" x14ac:dyDescent="0.3">
      <c r="A19">
        <v>920</v>
      </c>
      <c r="B19" t="s">
        <v>12</v>
      </c>
      <c r="D19" t="s">
        <v>7</v>
      </c>
      <c r="E19" t="s">
        <v>353</v>
      </c>
      <c r="I19" t="str">
        <f t="shared" si="0"/>
        <v>920,!-Specific Heat {J/kg-K}</v>
      </c>
    </row>
    <row r="20" spans="1:9" x14ac:dyDescent="0.3">
      <c r="A20" t="s">
        <v>352</v>
      </c>
      <c r="B20" t="s">
        <v>12</v>
      </c>
      <c r="D20" t="s">
        <v>7</v>
      </c>
      <c r="E20" t="s">
        <v>330</v>
      </c>
      <c r="I20" t="str">
        <f t="shared" si="0"/>
        <v>0.9,!-Thermal Absorptance</v>
      </c>
    </row>
    <row r="21" spans="1:9" x14ac:dyDescent="0.3">
      <c r="A21" t="s">
        <v>354</v>
      </c>
      <c r="B21" t="s">
        <v>12</v>
      </c>
      <c r="D21" t="s">
        <v>7</v>
      </c>
      <c r="E21" t="s">
        <v>331</v>
      </c>
      <c r="I21" t="str">
        <f t="shared" si="0"/>
        <v>0.7,!-Solar Absorptance</v>
      </c>
    </row>
    <row r="22" spans="1:9" x14ac:dyDescent="0.3">
      <c r="A22" t="s">
        <v>354</v>
      </c>
      <c r="B22" t="s">
        <v>18</v>
      </c>
      <c r="D22" t="s">
        <v>7</v>
      </c>
      <c r="E22" t="s">
        <v>332</v>
      </c>
      <c r="I22" t="str">
        <f t="shared" si="0"/>
        <v>0.7;!-Visible Absorptance</v>
      </c>
    </row>
    <row r="23" spans="1:9" x14ac:dyDescent="0.3">
      <c r="I23" t="str">
        <f t="shared" si="0"/>
        <v/>
      </c>
    </row>
    <row r="24" spans="1:9" x14ac:dyDescent="0.3">
      <c r="A24" t="s">
        <v>343</v>
      </c>
      <c r="B24" t="s">
        <v>344</v>
      </c>
      <c r="I24" t="str">
        <f t="shared" si="0"/>
        <v>Material,</v>
      </c>
    </row>
    <row r="25" spans="1:9" x14ac:dyDescent="0.3">
      <c r="A25" t="s">
        <v>337</v>
      </c>
      <c r="B25" t="s">
        <v>356</v>
      </c>
      <c r="D25" t="s">
        <v>7</v>
      </c>
      <c r="E25" t="s">
        <v>8</v>
      </c>
      <c r="I25" t="str">
        <f t="shared" si="0"/>
        <v>argamassa interna,!-Name</v>
      </c>
    </row>
    <row r="26" spans="1:9" x14ac:dyDescent="0.3">
      <c r="A26" t="s">
        <v>349</v>
      </c>
      <c r="B26" t="s">
        <v>350</v>
      </c>
      <c r="D26" t="s">
        <v>7</v>
      </c>
      <c r="E26" t="s">
        <v>326</v>
      </c>
      <c r="I26" t="str">
        <f t="shared" si="0"/>
        <v>Rough,!-Roughness</v>
      </c>
    </row>
    <row r="27" spans="1:9" x14ac:dyDescent="0.3">
      <c r="A27" t="s">
        <v>351</v>
      </c>
      <c r="B27">
        <v>25</v>
      </c>
      <c r="C27" t="s">
        <v>12</v>
      </c>
      <c r="D27" t="s">
        <v>7</v>
      </c>
      <c r="E27" t="s">
        <v>327</v>
      </c>
      <c r="I27" t="str">
        <f t="shared" si="0"/>
        <v>0.025,!-Thickness {m}</v>
      </c>
    </row>
    <row r="28" spans="1:9" x14ac:dyDescent="0.3">
      <c r="A28" t="s">
        <v>357</v>
      </c>
      <c r="B28">
        <v>5</v>
      </c>
      <c r="C28" t="s">
        <v>12</v>
      </c>
      <c r="D28" t="s">
        <v>7</v>
      </c>
      <c r="E28" t="s">
        <v>328</v>
      </c>
      <c r="I28" t="str">
        <f t="shared" si="0"/>
        <v>1.15,!-Conductivity {W/m-K}</v>
      </c>
    </row>
    <row r="29" spans="1:9" x14ac:dyDescent="0.3">
      <c r="A29">
        <v>200</v>
      </c>
      <c r="B29">
        <v>0</v>
      </c>
      <c r="C29" t="s">
        <v>12</v>
      </c>
      <c r="D29" t="s">
        <v>7</v>
      </c>
      <c r="E29" t="s">
        <v>329</v>
      </c>
      <c r="I29" t="str">
        <f t="shared" si="0"/>
        <v>2000,!-Density {kg/m3}</v>
      </c>
    </row>
    <row r="30" spans="1:9" x14ac:dyDescent="0.3">
      <c r="A30">
        <v>100</v>
      </c>
      <c r="B30">
        <v>0</v>
      </c>
      <c r="C30" t="s">
        <v>12</v>
      </c>
      <c r="D30" t="s">
        <v>7</v>
      </c>
      <c r="E30" t="s">
        <v>353</v>
      </c>
      <c r="I30" t="str">
        <f t="shared" si="0"/>
        <v>1000,!-Specific Heat {J/kg-K}</v>
      </c>
    </row>
    <row r="31" spans="1:9" x14ac:dyDescent="0.3">
      <c r="A31" t="s">
        <v>352</v>
      </c>
      <c r="B31" t="s">
        <v>12</v>
      </c>
      <c r="D31" t="s">
        <v>7</v>
      </c>
      <c r="E31" t="s">
        <v>330</v>
      </c>
      <c r="I31" t="str">
        <f t="shared" si="0"/>
        <v>0.9,!-Thermal Absorptance</v>
      </c>
    </row>
    <row r="32" spans="1:9" x14ac:dyDescent="0.3">
      <c r="A32" t="s">
        <v>354</v>
      </c>
      <c r="B32" t="s">
        <v>12</v>
      </c>
      <c r="D32" t="s">
        <v>7</v>
      </c>
      <c r="E32" t="s">
        <v>331</v>
      </c>
      <c r="I32" t="str">
        <f t="shared" si="0"/>
        <v>0.7,!-Solar Absorptance</v>
      </c>
    </row>
    <row r="33" spans="1:9" x14ac:dyDescent="0.3">
      <c r="A33" t="s">
        <v>354</v>
      </c>
      <c r="B33" t="s">
        <v>18</v>
      </c>
      <c r="D33" t="s">
        <v>7</v>
      </c>
      <c r="E33" t="s">
        <v>332</v>
      </c>
      <c r="I33" t="str">
        <f t="shared" si="0"/>
        <v>0.7;!-Visible Absorptance</v>
      </c>
    </row>
    <row r="34" spans="1:9" x14ac:dyDescent="0.3">
      <c r="I34" t="str">
        <f t="shared" si="0"/>
        <v/>
      </c>
    </row>
    <row r="35" spans="1:9" x14ac:dyDescent="0.3">
      <c r="A35" t="s">
        <v>343</v>
      </c>
      <c r="B35" t="s">
        <v>344</v>
      </c>
      <c r="I35" t="str">
        <f t="shared" si="0"/>
        <v>Material,</v>
      </c>
    </row>
    <row r="36" spans="1:9" x14ac:dyDescent="0.3">
      <c r="A36" t="s">
        <v>338</v>
      </c>
      <c r="B36" t="s">
        <v>358</v>
      </c>
      <c r="D36" t="s">
        <v>7</v>
      </c>
      <c r="E36" t="s">
        <v>8</v>
      </c>
      <c r="I36" t="str">
        <f t="shared" si="0"/>
        <v>gesso interno,!-Name</v>
      </c>
    </row>
    <row r="37" spans="1:9" x14ac:dyDescent="0.3">
      <c r="A37" t="s">
        <v>349</v>
      </c>
      <c r="B37" t="s">
        <v>350</v>
      </c>
      <c r="D37" t="s">
        <v>7</v>
      </c>
      <c r="E37" t="s">
        <v>326</v>
      </c>
      <c r="I37" t="str">
        <f t="shared" si="0"/>
        <v>Rough,!-Roughness</v>
      </c>
    </row>
    <row r="38" spans="1:9" x14ac:dyDescent="0.3">
      <c r="A38" t="s">
        <v>351</v>
      </c>
      <c r="B38">
        <v>2</v>
      </c>
      <c r="C38" t="s">
        <v>12</v>
      </c>
      <c r="D38" t="s">
        <v>7</v>
      </c>
      <c r="E38" t="s">
        <v>327</v>
      </c>
      <c r="I38" t="str">
        <f t="shared" si="0"/>
        <v>0.02,!-Thickness {m}</v>
      </c>
    </row>
    <row r="39" spans="1:9" x14ac:dyDescent="0.3">
      <c r="A39" t="s">
        <v>359</v>
      </c>
      <c r="B39">
        <v>5</v>
      </c>
      <c r="C39" t="s">
        <v>12</v>
      </c>
      <c r="D39" t="s">
        <v>7</v>
      </c>
      <c r="E39" t="s">
        <v>328</v>
      </c>
      <c r="I39" t="str">
        <f t="shared" si="0"/>
        <v>0.35,!-Conductivity {W/m-K}</v>
      </c>
    </row>
    <row r="40" spans="1:9" x14ac:dyDescent="0.3">
      <c r="A40">
        <v>900</v>
      </c>
      <c r="B40" t="s">
        <v>12</v>
      </c>
      <c r="D40" t="s">
        <v>7</v>
      </c>
      <c r="E40" t="s">
        <v>329</v>
      </c>
      <c r="I40" t="str">
        <f t="shared" si="0"/>
        <v>900,!-Density {kg/m3}</v>
      </c>
    </row>
    <row r="41" spans="1:9" x14ac:dyDescent="0.3">
      <c r="A41">
        <v>870</v>
      </c>
      <c r="B41" t="s">
        <v>12</v>
      </c>
      <c r="D41" t="s">
        <v>7</v>
      </c>
      <c r="E41" t="s">
        <v>353</v>
      </c>
      <c r="I41" t="str">
        <f t="shared" si="0"/>
        <v>870,!-Specific Heat {J/kg-K}</v>
      </c>
    </row>
    <row r="42" spans="1:9" x14ac:dyDescent="0.3">
      <c r="A42" t="s">
        <v>352</v>
      </c>
      <c r="B42" t="s">
        <v>12</v>
      </c>
      <c r="D42" t="s">
        <v>7</v>
      </c>
      <c r="E42" t="s">
        <v>330</v>
      </c>
      <c r="I42" t="str">
        <f t="shared" si="0"/>
        <v>0.9,!-Thermal Absorptance</v>
      </c>
    </row>
    <row r="43" spans="1:9" x14ac:dyDescent="0.3">
      <c r="A43" t="s">
        <v>354</v>
      </c>
      <c r="B43" t="s">
        <v>12</v>
      </c>
      <c r="D43" t="s">
        <v>7</v>
      </c>
      <c r="E43" t="s">
        <v>331</v>
      </c>
      <c r="I43" t="str">
        <f t="shared" si="0"/>
        <v>0.7,!-Solar Absorptance</v>
      </c>
    </row>
    <row r="44" spans="1:9" x14ac:dyDescent="0.3">
      <c r="A44" t="s">
        <v>354</v>
      </c>
      <c r="B44" t="s">
        <v>18</v>
      </c>
      <c r="D44" t="s">
        <v>7</v>
      </c>
      <c r="E44" t="s">
        <v>332</v>
      </c>
      <c r="I44" t="str">
        <f t="shared" si="0"/>
        <v>0.7;!-Visible Absorptance</v>
      </c>
    </row>
    <row r="45" spans="1:9" x14ac:dyDescent="0.3">
      <c r="I45" t="str">
        <f t="shared" si="0"/>
        <v/>
      </c>
    </row>
    <row r="46" spans="1:9" x14ac:dyDescent="0.3">
      <c r="A46" t="s">
        <v>343</v>
      </c>
      <c r="B46" t="s">
        <v>344</v>
      </c>
      <c r="I46" t="str">
        <f t="shared" si="0"/>
        <v>Material,</v>
      </c>
    </row>
    <row r="47" spans="1:9" x14ac:dyDescent="0.3">
      <c r="A47" t="s">
        <v>360</v>
      </c>
      <c r="B47" t="s">
        <v>361</v>
      </c>
      <c r="D47" t="s">
        <v>7</v>
      </c>
      <c r="E47" t="s">
        <v>8</v>
      </c>
      <c r="I47" t="str">
        <f t="shared" si="0"/>
        <v>Placa gesso,!-Name</v>
      </c>
    </row>
    <row r="48" spans="1:9" x14ac:dyDescent="0.3">
      <c r="A48" t="s">
        <v>349</v>
      </c>
      <c r="B48" t="s">
        <v>350</v>
      </c>
      <c r="D48" t="s">
        <v>7</v>
      </c>
      <c r="E48" t="s">
        <v>326</v>
      </c>
      <c r="I48" t="str">
        <f t="shared" si="0"/>
        <v>Rough,!-Roughness</v>
      </c>
    </row>
    <row r="49" spans="1:9" x14ac:dyDescent="0.3">
      <c r="A49" t="s">
        <v>351</v>
      </c>
      <c r="B49">
        <v>2</v>
      </c>
      <c r="C49" t="s">
        <v>12</v>
      </c>
      <c r="D49" t="s">
        <v>7</v>
      </c>
      <c r="E49" t="s">
        <v>327</v>
      </c>
      <c r="I49" t="str">
        <f t="shared" si="0"/>
        <v>0.02,!-Thickness {m}</v>
      </c>
    </row>
    <row r="50" spans="1:9" x14ac:dyDescent="0.3">
      <c r="A50" t="s">
        <v>359</v>
      </c>
      <c r="B50">
        <v>5</v>
      </c>
      <c r="C50" t="s">
        <v>12</v>
      </c>
      <c r="D50" t="s">
        <v>7</v>
      </c>
      <c r="E50" t="s">
        <v>328</v>
      </c>
      <c r="I50" t="str">
        <f t="shared" si="0"/>
        <v>0.35,!-Conductivity {W/m-K}</v>
      </c>
    </row>
    <row r="51" spans="1:9" x14ac:dyDescent="0.3">
      <c r="A51">
        <v>900</v>
      </c>
      <c r="B51" t="s">
        <v>12</v>
      </c>
      <c r="D51" t="s">
        <v>7</v>
      </c>
      <c r="E51" t="s">
        <v>329</v>
      </c>
      <c r="I51" t="str">
        <f t="shared" si="0"/>
        <v>900,!-Density {kg/m3}</v>
      </c>
    </row>
    <row r="52" spans="1:9" x14ac:dyDescent="0.3">
      <c r="A52">
        <v>870</v>
      </c>
      <c r="B52" t="s">
        <v>12</v>
      </c>
      <c r="D52" t="s">
        <v>7</v>
      </c>
      <c r="E52" t="s">
        <v>353</v>
      </c>
      <c r="I52" t="str">
        <f t="shared" si="0"/>
        <v>870,!-Specific Heat {J/kg-K}</v>
      </c>
    </row>
    <row r="53" spans="1:9" x14ac:dyDescent="0.3">
      <c r="A53" t="s">
        <v>352</v>
      </c>
      <c r="B53" t="s">
        <v>12</v>
      </c>
      <c r="D53" t="s">
        <v>7</v>
      </c>
      <c r="E53" t="s">
        <v>330</v>
      </c>
      <c r="I53" t="str">
        <f t="shared" si="0"/>
        <v>0.9,!-Thermal Absorptance</v>
      </c>
    </row>
    <row r="54" spans="1:9" x14ac:dyDescent="0.3">
      <c r="A54" t="s">
        <v>354</v>
      </c>
      <c r="B54" t="s">
        <v>12</v>
      </c>
      <c r="D54" t="s">
        <v>7</v>
      </c>
      <c r="E54" t="s">
        <v>331</v>
      </c>
      <c r="I54" t="str">
        <f t="shared" si="0"/>
        <v>0.7,!-Solar Absorptance</v>
      </c>
    </row>
    <row r="55" spans="1:9" x14ac:dyDescent="0.3">
      <c r="A55" t="s">
        <v>354</v>
      </c>
      <c r="B55" t="s">
        <v>18</v>
      </c>
      <c r="D55" t="s">
        <v>7</v>
      </c>
      <c r="E55" t="s">
        <v>332</v>
      </c>
      <c r="I55" t="str">
        <f t="shared" si="0"/>
        <v>0.7;!-Visible Absorptance</v>
      </c>
    </row>
    <row r="56" spans="1:9" x14ac:dyDescent="0.3">
      <c r="I56" t="str">
        <f t="shared" si="0"/>
        <v/>
      </c>
    </row>
    <row r="57" spans="1:9" x14ac:dyDescent="0.3">
      <c r="A57" t="s">
        <v>343</v>
      </c>
      <c r="B57" t="s">
        <v>344</v>
      </c>
      <c r="I57" t="str">
        <f t="shared" si="0"/>
        <v>Material,</v>
      </c>
    </row>
    <row r="58" spans="1:9" x14ac:dyDescent="0.3">
      <c r="A58" t="s">
        <v>362</v>
      </c>
      <c r="B58" t="s">
        <v>363</v>
      </c>
      <c r="D58" t="s">
        <v>7</v>
      </c>
      <c r="E58" t="s">
        <v>8</v>
      </c>
      <c r="I58" t="str">
        <f t="shared" si="0"/>
        <v>Granito ,!-Name</v>
      </c>
    </row>
    <row r="59" spans="1:9" x14ac:dyDescent="0.3">
      <c r="A59" t="s">
        <v>349</v>
      </c>
      <c r="B59" t="s">
        <v>350</v>
      </c>
      <c r="D59" t="s">
        <v>7</v>
      </c>
      <c r="E59" t="s">
        <v>326</v>
      </c>
      <c r="I59" t="str">
        <f t="shared" si="0"/>
        <v>Rough,!-Roughness</v>
      </c>
    </row>
    <row r="60" spans="1:9" x14ac:dyDescent="0.3">
      <c r="A60" t="s">
        <v>351</v>
      </c>
      <c r="B60">
        <v>25</v>
      </c>
      <c r="C60" t="s">
        <v>12</v>
      </c>
      <c r="D60" t="s">
        <v>7</v>
      </c>
      <c r="E60" t="s">
        <v>327</v>
      </c>
      <c r="I60" t="str">
        <f t="shared" si="0"/>
        <v>0.025,!-Thickness {m}</v>
      </c>
    </row>
    <row r="61" spans="1:9" x14ac:dyDescent="0.3">
      <c r="A61">
        <v>3</v>
      </c>
      <c r="C61" t="s">
        <v>12</v>
      </c>
      <c r="D61" t="s">
        <v>7</v>
      </c>
      <c r="E61" t="s">
        <v>328</v>
      </c>
      <c r="I61" t="str">
        <f t="shared" si="0"/>
        <v>3,!-Conductivity {W/m-K}</v>
      </c>
    </row>
    <row r="62" spans="1:9" x14ac:dyDescent="0.3">
      <c r="A62">
        <v>260</v>
      </c>
      <c r="B62">
        <v>0</v>
      </c>
      <c r="C62" t="s">
        <v>12</v>
      </c>
      <c r="D62" t="s">
        <v>7</v>
      </c>
      <c r="E62" t="s">
        <v>329</v>
      </c>
      <c r="I62" t="str">
        <f t="shared" si="0"/>
        <v>2600,!-Density {kg/m3}</v>
      </c>
    </row>
    <row r="63" spans="1:9" x14ac:dyDescent="0.3">
      <c r="A63">
        <v>800</v>
      </c>
      <c r="B63" t="s">
        <v>12</v>
      </c>
      <c r="D63" t="s">
        <v>7</v>
      </c>
      <c r="E63" t="s">
        <v>353</v>
      </c>
      <c r="I63" t="str">
        <f t="shared" si="0"/>
        <v>800,!-Specific Heat {J/kg-K}</v>
      </c>
    </row>
    <row r="64" spans="1:9" x14ac:dyDescent="0.3">
      <c r="A64" t="s">
        <v>352</v>
      </c>
      <c r="B64" t="s">
        <v>12</v>
      </c>
      <c r="D64" t="s">
        <v>7</v>
      </c>
      <c r="E64" t="s">
        <v>330</v>
      </c>
      <c r="I64" t="str">
        <f t="shared" si="0"/>
        <v>0.9,!-Thermal Absorptance</v>
      </c>
    </row>
    <row r="65" spans="1:9" x14ac:dyDescent="0.3">
      <c r="A65" t="s">
        <v>354</v>
      </c>
      <c r="B65" t="s">
        <v>12</v>
      </c>
      <c r="D65" t="s">
        <v>7</v>
      </c>
      <c r="E65" t="s">
        <v>331</v>
      </c>
      <c r="I65" t="str">
        <f t="shared" si="0"/>
        <v>0.7,!-Solar Absorptance</v>
      </c>
    </row>
    <row r="66" spans="1:9" x14ac:dyDescent="0.3">
      <c r="A66" t="s">
        <v>354</v>
      </c>
      <c r="B66" t="s">
        <v>18</v>
      </c>
      <c r="D66" t="s">
        <v>7</v>
      </c>
      <c r="E66" t="s">
        <v>332</v>
      </c>
      <c r="I66" t="str">
        <f t="shared" ref="I66:I129" si="1">CONCATENATE(A66,B66,C66,D66,E66,F66,G66)</f>
        <v>0.7;!-Visible Absorptance</v>
      </c>
    </row>
    <row r="67" spans="1:9" x14ac:dyDescent="0.3">
      <c r="I67" t="str">
        <f t="shared" si="1"/>
        <v/>
      </c>
    </row>
    <row r="68" spans="1:9" x14ac:dyDescent="0.3">
      <c r="A68" t="s">
        <v>343</v>
      </c>
      <c r="B68" t="s">
        <v>344</v>
      </c>
      <c r="I68" t="str">
        <f t="shared" si="1"/>
        <v>Material,</v>
      </c>
    </row>
    <row r="69" spans="1:9" x14ac:dyDescent="0.3">
      <c r="A69" t="s">
        <v>345</v>
      </c>
      <c r="B69" t="s">
        <v>364</v>
      </c>
      <c r="D69" t="s">
        <v>7</v>
      </c>
      <c r="E69" t="s">
        <v>8</v>
      </c>
      <c r="I69" t="str">
        <f t="shared" si="1"/>
        <v>Cerâmica tijolo 9x19x19,!-Name</v>
      </c>
    </row>
    <row r="70" spans="1:9" x14ac:dyDescent="0.3">
      <c r="A70" t="s">
        <v>349</v>
      </c>
      <c r="B70" t="s">
        <v>350</v>
      </c>
      <c r="D70" t="s">
        <v>7</v>
      </c>
      <c r="E70" t="s">
        <v>326</v>
      </c>
      <c r="I70" t="str">
        <f t="shared" si="1"/>
        <v>Rough,!-Roughness</v>
      </c>
    </row>
    <row r="71" spans="1:9" x14ac:dyDescent="0.3">
      <c r="A71" t="s">
        <v>351</v>
      </c>
      <c r="B71">
        <v>13</v>
      </c>
      <c r="C71" t="s">
        <v>12</v>
      </c>
      <c r="D71" t="s">
        <v>7</v>
      </c>
      <c r="E71" t="s">
        <v>327</v>
      </c>
      <c r="I71" t="str">
        <f t="shared" si="1"/>
        <v>0.013,!-Thickness {m}</v>
      </c>
    </row>
    <row r="72" spans="1:9" x14ac:dyDescent="0.3">
      <c r="A72" t="s">
        <v>352</v>
      </c>
      <c r="B72" t="s">
        <v>12</v>
      </c>
      <c r="D72" t="s">
        <v>7</v>
      </c>
      <c r="E72" t="s">
        <v>328</v>
      </c>
      <c r="I72" t="str">
        <f t="shared" si="1"/>
        <v>0.9,!-Conductivity {W/m-K}</v>
      </c>
    </row>
    <row r="73" spans="1:9" x14ac:dyDescent="0.3">
      <c r="A73">
        <v>160</v>
      </c>
      <c r="B73">
        <v>0</v>
      </c>
      <c r="C73" t="s">
        <v>12</v>
      </c>
      <c r="D73" t="s">
        <v>7</v>
      </c>
      <c r="E73" t="s">
        <v>329</v>
      </c>
      <c r="I73" t="str">
        <f t="shared" si="1"/>
        <v>1600,!-Density {kg/m3}</v>
      </c>
    </row>
    <row r="74" spans="1:9" x14ac:dyDescent="0.3">
      <c r="A74">
        <v>920</v>
      </c>
      <c r="B74" t="s">
        <v>12</v>
      </c>
      <c r="D74" t="s">
        <v>7</v>
      </c>
      <c r="E74" t="s">
        <v>353</v>
      </c>
      <c r="I74" t="str">
        <f t="shared" si="1"/>
        <v>920,!-Specific Heat {J/kg-K}</v>
      </c>
    </row>
    <row r="75" spans="1:9" x14ac:dyDescent="0.3">
      <c r="A75" t="s">
        <v>352</v>
      </c>
      <c r="B75" t="s">
        <v>12</v>
      </c>
      <c r="D75" t="s">
        <v>7</v>
      </c>
      <c r="E75" t="s">
        <v>330</v>
      </c>
      <c r="I75" t="str">
        <f t="shared" si="1"/>
        <v>0.9,!-Thermal Absorptance</v>
      </c>
    </row>
    <row r="76" spans="1:9" x14ac:dyDescent="0.3">
      <c r="A76" t="s">
        <v>354</v>
      </c>
      <c r="B76" t="s">
        <v>12</v>
      </c>
      <c r="D76" t="s">
        <v>7</v>
      </c>
      <c r="E76" t="s">
        <v>331</v>
      </c>
      <c r="I76" t="str">
        <f t="shared" si="1"/>
        <v>0.7,!-Solar Absorptance</v>
      </c>
    </row>
    <row r="77" spans="1:9" x14ac:dyDescent="0.3">
      <c r="A77" t="s">
        <v>354</v>
      </c>
      <c r="B77" t="s">
        <v>18</v>
      </c>
      <c r="D77" t="s">
        <v>7</v>
      </c>
      <c r="E77" t="s">
        <v>332</v>
      </c>
      <c r="I77" t="str">
        <f t="shared" si="1"/>
        <v>0.7;!-Visible Absorptance</v>
      </c>
    </row>
    <row r="78" spans="1:9" x14ac:dyDescent="0.3">
      <c r="I78" t="str">
        <f t="shared" si="1"/>
        <v/>
      </c>
    </row>
    <row r="79" spans="1:9" x14ac:dyDescent="0.3">
      <c r="A79" t="s">
        <v>343</v>
      </c>
      <c r="B79" t="s">
        <v>344</v>
      </c>
      <c r="I79" t="str">
        <f t="shared" si="1"/>
        <v>Material,</v>
      </c>
    </row>
    <row r="80" spans="1:9" x14ac:dyDescent="0.3">
      <c r="A80" t="s">
        <v>345</v>
      </c>
      <c r="B80" t="s">
        <v>365</v>
      </c>
      <c r="D80" t="s">
        <v>7</v>
      </c>
      <c r="E80" t="s">
        <v>8</v>
      </c>
      <c r="I80" t="str">
        <f t="shared" si="1"/>
        <v>Cerâmica tijolo 12x19x19,!-Name</v>
      </c>
    </row>
    <row r="81" spans="1:9" x14ac:dyDescent="0.3">
      <c r="A81" t="s">
        <v>349</v>
      </c>
      <c r="B81" t="s">
        <v>350</v>
      </c>
      <c r="D81" t="s">
        <v>7</v>
      </c>
      <c r="E81" t="s">
        <v>326</v>
      </c>
      <c r="I81" t="str">
        <f t="shared" si="1"/>
        <v>Rough,!-Roughness</v>
      </c>
    </row>
    <row r="82" spans="1:9" x14ac:dyDescent="0.3">
      <c r="A82" t="s">
        <v>351</v>
      </c>
      <c r="B82">
        <v>13</v>
      </c>
      <c r="C82" t="s">
        <v>12</v>
      </c>
      <c r="D82" t="s">
        <v>7</v>
      </c>
      <c r="E82" t="s">
        <v>327</v>
      </c>
      <c r="I82" t="str">
        <f t="shared" si="1"/>
        <v>0.013,!-Thickness {m}</v>
      </c>
    </row>
    <row r="83" spans="1:9" x14ac:dyDescent="0.3">
      <c r="A83" t="s">
        <v>352</v>
      </c>
      <c r="B83" t="s">
        <v>12</v>
      </c>
      <c r="D83" t="s">
        <v>7</v>
      </c>
      <c r="E83" t="s">
        <v>328</v>
      </c>
      <c r="I83" t="str">
        <f t="shared" si="1"/>
        <v>0.9,!-Conductivity {W/m-K}</v>
      </c>
    </row>
    <row r="84" spans="1:9" x14ac:dyDescent="0.3">
      <c r="A84">
        <v>160</v>
      </c>
      <c r="B84">
        <v>0</v>
      </c>
      <c r="C84" t="s">
        <v>12</v>
      </c>
      <c r="D84" t="s">
        <v>7</v>
      </c>
      <c r="E84" t="s">
        <v>329</v>
      </c>
      <c r="I84" t="str">
        <f t="shared" si="1"/>
        <v>1600,!-Density {kg/m3}</v>
      </c>
    </row>
    <row r="85" spans="1:9" x14ac:dyDescent="0.3">
      <c r="A85">
        <v>920</v>
      </c>
      <c r="B85" t="s">
        <v>12</v>
      </c>
      <c r="D85" t="s">
        <v>7</v>
      </c>
      <c r="E85" t="s">
        <v>353</v>
      </c>
      <c r="I85" t="str">
        <f t="shared" si="1"/>
        <v>920,!-Specific Heat {J/kg-K}</v>
      </c>
    </row>
    <row r="86" spans="1:9" x14ac:dyDescent="0.3">
      <c r="A86" t="s">
        <v>352</v>
      </c>
      <c r="B86" t="s">
        <v>12</v>
      </c>
      <c r="D86" t="s">
        <v>7</v>
      </c>
      <c r="E86" t="s">
        <v>330</v>
      </c>
      <c r="I86" t="str">
        <f t="shared" si="1"/>
        <v>0.9,!-Thermal Absorptance</v>
      </c>
    </row>
    <row r="87" spans="1:9" x14ac:dyDescent="0.3">
      <c r="A87" t="s">
        <v>354</v>
      </c>
      <c r="B87" t="s">
        <v>12</v>
      </c>
      <c r="D87" t="s">
        <v>7</v>
      </c>
      <c r="E87" t="s">
        <v>331</v>
      </c>
      <c r="I87" t="str">
        <f t="shared" si="1"/>
        <v>0.7,!-Solar Absorptance</v>
      </c>
    </row>
    <row r="88" spans="1:9" x14ac:dyDescent="0.3">
      <c r="A88" t="s">
        <v>354</v>
      </c>
      <c r="B88" t="s">
        <v>18</v>
      </c>
      <c r="D88" t="s">
        <v>7</v>
      </c>
      <c r="E88" t="s">
        <v>332</v>
      </c>
      <c r="I88" t="str">
        <f t="shared" si="1"/>
        <v>0.7;!-Visible Absorptance</v>
      </c>
    </row>
    <row r="89" spans="1:9" x14ac:dyDescent="0.3">
      <c r="I89" t="str">
        <f t="shared" si="1"/>
        <v/>
      </c>
    </row>
    <row r="90" spans="1:9" x14ac:dyDescent="0.3">
      <c r="A90" t="s">
        <v>343</v>
      </c>
      <c r="B90" t="s">
        <v>344</v>
      </c>
      <c r="I90" t="str">
        <f t="shared" si="1"/>
        <v>Material,</v>
      </c>
    </row>
    <row r="91" spans="1:9" x14ac:dyDescent="0.3">
      <c r="A91" t="s">
        <v>345</v>
      </c>
      <c r="B91" t="s">
        <v>366</v>
      </c>
      <c r="D91" t="s">
        <v>7</v>
      </c>
      <c r="E91" t="s">
        <v>8</v>
      </c>
      <c r="I91" t="str">
        <f t="shared" si="1"/>
        <v>Cerâmica tijolo 14x19x29,!-Name</v>
      </c>
    </row>
    <row r="92" spans="1:9" x14ac:dyDescent="0.3">
      <c r="A92" t="s">
        <v>349</v>
      </c>
      <c r="B92" t="s">
        <v>350</v>
      </c>
      <c r="D92" t="s">
        <v>7</v>
      </c>
      <c r="E92" t="s">
        <v>326</v>
      </c>
      <c r="I92" t="str">
        <f t="shared" si="1"/>
        <v>Rough,!-Roughness</v>
      </c>
    </row>
    <row r="93" spans="1:9" x14ac:dyDescent="0.3">
      <c r="A93" t="s">
        <v>351</v>
      </c>
      <c r="B93">
        <v>165</v>
      </c>
      <c r="C93" t="s">
        <v>12</v>
      </c>
      <c r="D93" t="s">
        <v>7</v>
      </c>
      <c r="E93" t="s">
        <v>327</v>
      </c>
      <c r="I93" t="str">
        <f t="shared" si="1"/>
        <v>0.0165,!-Thickness {m}</v>
      </c>
    </row>
    <row r="94" spans="1:9" x14ac:dyDescent="0.3">
      <c r="A94" t="s">
        <v>352</v>
      </c>
      <c r="B94" t="s">
        <v>12</v>
      </c>
      <c r="D94" t="s">
        <v>7</v>
      </c>
      <c r="E94" t="s">
        <v>328</v>
      </c>
      <c r="I94" t="str">
        <f t="shared" si="1"/>
        <v>0.9,!-Conductivity {W/m-K}</v>
      </c>
    </row>
    <row r="95" spans="1:9" x14ac:dyDescent="0.3">
      <c r="A95">
        <v>160</v>
      </c>
      <c r="B95">
        <v>0</v>
      </c>
      <c r="C95" t="s">
        <v>12</v>
      </c>
      <c r="D95" t="s">
        <v>7</v>
      </c>
      <c r="E95" t="s">
        <v>329</v>
      </c>
      <c r="I95" t="str">
        <f t="shared" si="1"/>
        <v>1600,!-Density {kg/m3}</v>
      </c>
    </row>
    <row r="96" spans="1:9" x14ac:dyDescent="0.3">
      <c r="A96">
        <v>920</v>
      </c>
      <c r="B96" t="s">
        <v>12</v>
      </c>
      <c r="D96" t="s">
        <v>7</v>
      </c>
      <c r="E96" t="s">
        <v>353</v>
      </c>
      <c r="I96" t="str">
        <f t="shared" si="1"/>
        <v>920,!-Specific Heat {J/kg-K}</v>
      </c>
    </row>
    <row r="97" spans="1:9" x14ac:dyDescent="0.3">
      <c r="A97" t="s">
        <v>352</v>
      </c>
      <c r="B97" t="s">
        <v>12</v>
      </c>
      <c r="D97" t="s">
        <v>7</v>
      </c>
      <c r="E97" t="s">
        <v>330</v>
      </c>
      <c r="I97" t="str">
        <f t="shared" si="1"/>
        <v>0.9,!-Thermal Absorptance</v>
      </c>
    </row>
    <row r="98" spans="1:9" x14ac:dyDescent="0.3">
      <c r="A98" t="s">
        <v>354</v>
      </c>
      <c r="B98" t="s">
        <v>12</v>
      </c>
      <c r="D98" t="s">
        <v>7</v>
      </c>
      <c r="E98" t="s">
        <v>331</v>
      </c>
      <c r="I98" t="str">
        <f t="shared" si="1"/>
        <v>0.7,!-Solar Absorptance</v>
      </c>
    </row>
    <row r="99" spans="1:9" x14ac:dyDescent="0.3">
      <c r="A99" t="s">
        <v>354</v>
      </c>
      <c r="B99" t="s">
        <v>18</v>
      </c>
      <c r="D99" t="s">
        <v>7</v>
      </c>
      <c r="E99" t="s">
        <v>332</v>
      </c>
      <c r="I99" t="str">
        <f t="shared" si="1"/>
        <v>0.7;!-Visible Absorptance</v>
      </c>
    </row>
    <row r="100" spans="1:9" x14ac:dyDescent="0.3">
      <c r="I100" t="str">
        <f t="shared" si="1"/>
        <v/>
      </c>
    </row>
    <row r="101" spans="1:9" x14ac:dyDescent="0.3">
      <c r="A101" t="s">
        <v>343</v>
      </c>
      <c r="B101" t="s">
        <v>344</v>
      </c>
      <c r="I101" t="str">
        <f t="shared" si="1"/>
        <v>Material,</v>
      </c>
    </row>
    <row r="102" spans="1:9" x14ac:dyDescent="0.3">
      <c r="A102" t="s">
        <v>367</v>
      </c>
      <c r="B102" t="s">
        <v>368</v>
      </c>
      <c r="D102" t="s">
        <v>7</v>
      </c>
      <c r="E102" t="s">
        <v>8</v>
      </c>
      <c r="I102" t="str">
        <f t="shared" si="1"/>
        <v>Concreto bloco 9x19x39,!-Name</v>
      </c>
    </row>
    <row r="103" spans="1:9" x14ac:dyDescent="0.3">
      <c r="A103" t="s">
        <v>349</v>
      </c>
      <c r="B103" t="s">
        <v>350</v>
      </c>
      <c r="D103" t="s">
        <v>7</v>
      </c>
      <c r="E103" t="s">
        <v>326</v>
      </c>
      <c r="I103" t="str">
        <f t="shared" si="1"/>
        <v>Rough,!-Roughness</v>
      </c>
    </row>
    <row r="104" spans="1:9" x14ac:dyDescent="0.3">
      <c r="A104" t="s">
        <v>351</v>
      </c>
      <c r="B104">
        <v>173</v>
      </c>
      <c r="C104" t="s">
        <v>12</v>
      </c>
      <c r="D104" t="s">
        <v>7</v>
      </c>
      <c r="E104" t="s">
        <v>327</v>
      </c>
      <c r="I104" t="str">
        <f t="shared" si="1"/>
        <v>0.0173,!-Thickness {m}</v>
      </c>
    </row>
    <row r="105" spans="1:9" x14ac:dyDescent="0.3">
      <c r="A105" t="s">
        <v>369</v>
      </c>
      <c r="B105">
        <v>5</v>
      </c>
      <c r="C105" t="s">
        <v>12</v>
      </c>
      <c r="D105" t="s">
        <v>7</v>
      </c>
      <c r="E105" t="s">
        <v>328</v>
      </c>
      <c r="I105" t="str">
        <f t="shared" si="1"/>
        <v>1.75,!-Conductivity {W/m-K}</v>
      </c>
    </row>
    <row r="106" spans="1:9" x14ac:dyDescent="0.3">
      <c r="A106">
        <v>240</v>
      </c>
      <c r="B106">
        <v>0</v>
      </c>
      <c r="C106" t="s">
        <v>12</v>
      </c>
      <c r="D106" t="s">
        <v>7</v>
      </c>
      <c r="E106" t="s">
        <v>329</v>
      </c>
      <c r="I106" t="str">
        <f t="shared" si="1"/>
        <v>2400,!-Density {kg/m3}</v>
      </c>
    </row>
    <row r="107" spans="1:9" x14ac:dyDescent="0.3">
      <c r="A107">
        <v>100</v>
      </c>
      <c r="B107">
        <v>0</v>
      </c>
      <c r="C107" t="s">
        <v>12</v>
      </c>
      <c r="D107" t="s">
        <v>7</v>
      </c>
      <c r="E107" t="s">
        <v>353</v>
      </c>
      <c r="I107" t="str">
        <f t="shared" si="1"/>
        <v>1000,!-Specific Heat {J/kg-K}</v>
      </c>
    </row>
    <row r="108" spans="1:9" x14ac:dyDescent="0.3">
      <c r="A108" t="s">
        <v>352</v>
      </c>
      <c r="B108" t="s">
        <v>12</v>
      </c>
      <c r="D108" t="s">
        <v>7</v>
      </c>
      <c r="E108" t="s">
        <v>330</v>
      </c>
      <c r="I108" t="str">
        <f t="shared" si="1"/>
        <v>0.9,!-Thermal Absorptance</v>
      </c>
    </row>
    <row r="109" spans="1:9" x14ac:dyDescent="0.3">
      <c r="A109" t="s">
        <v>354</v>
      </c>
      <c r="B109" t="s">
        <v>12</v>
      </c>
      <c r="D109" t="s">
        <v>7</v>
      </c>
      <c r="E109" t="s">
        <v>331</v>
      </c>
      <c r="I109" t="str">
        <f t="shared" si="1"/>
        <v>0.7,!-Solar Absorptance</v>
      </c>
    </row>
    <row r="110" spans="1:9" x14ac:dyDescent="0.3">
      <c r="A110" t="s">
        <v>354</v>
      </c>
      <c r="B110" t="s">
        <v>18</v>
      </c>
      <c r="D110" t="s">
        <v>7</v>
      </c>
      <c r="E110" t="s">
        <v>332</v>
      </c>
      <c r="I110" t="str">
        <f t="shared" si="1"/>
        <v>0.7;!-Visible Absorptance</v>
      </c>
    </row>
    <row r="111" spans="1:9" x14ac:dyDescent="0.3">
      <c r="I111" t="str">
        <f t="shared" si="1"/>
        <v/>
      </c>
    </row>
    <row r="112" spans="1:9" x14ac:dyDescent="0.3">
      <c r="A112" t="s">
        <v>343</v>
      </c>
      <c r="B112" t="s">
        <v>344</v>
      </c>
      <c r="I112" t="str">
        <f t="shared" si="1"/>
        <v>Material,</v>
      </c>
    </row>
    <row r="113" spans="1:9" x14ac:dyDescent="0.3">
      <c r="A113" t="s">
        <v>367</v>
      </c>
      <c r="B113" t="s">
        <v>370</v>
      </c>
      <c r="D113" t="s">
        <v>7</v>
      </c>
      <c r="E113" t="s">
        <v>8</v>
      </c>
      <c r="I113" t="str">
        <f t="shared" si="1"/>
        <v>Concreto bloco 14x19x39,!-Name</v>
      </c>
    </row>
    <row r="114" spans="1:9" x14ac:dyDescent="0.3">
      <c r="A114" t="s">
        <v>349</v>
      </c>
      <c r="B114" t="s">
        <v>350</v>
      </c>
      <c r="D114" t="s">
        <v>7</v>
      </c>
      <c r="E114" t="s">
        <v>326</v>
      </c>
      <c r="I114" t="str">
        <f t="shared" si="1"/>
        <v>Rough,!-Roughness</v>
      </c>
    </row>
    <row r="115" spans="1:9" x14ac:dyDescent="0.3">
      <c r="A115" t="s">
        <v>351</v>
      </c>
      <c r="B115">
        <v>3</v>
      </c>
      <c r="C115" t="s">
        <v>12</v>
      </c>
      <c r="D115" t="s">
        <v>7</v>
      </c>
      <c r="E115" t="s">
        <v>327</v>
      </c>
      <c r="I115" t="str">
        <f t="shared" si="1"/>
        <v>0.03,!-Thickness {m}</v>
      </c>
    </row>
    <row r="116" spans="1:9" x14ac:dyDescent="0.3">
      <c r="A116" t="s">
        <v>369</v>
      </c>
      <c r="B116">
        <v>5</v>
      </c>
      <c r="C116" t="s">
        <v>12</v>
      </c>
      <c r="D116" t="s">
        <v>7</v>
      </c>
      <c r="E116" t="s">
        <v>328</v>
      </c>
      <c r="I116" t="str">
        <f t="shared" si="1"/>
        <v>1.75,!-Conductivity {W/m-K}</v>
      </c>
    </row>
    <row r="117" spans="1:9" x14ac:dyDescent="0.3">
      <c r="A117">
        <v>240</v>
      </c>
      <c r="B117">
        <v>0</v>
      </c>
      <c r="C117" t="s">
        <v>12</v>
      </c>
      <c r="D117" t="s">
        <v>7</v>
      </c>
      <c r="E117" t="s">
        <v>329</v>
      </c>
      <c r="I117" t="str">
        <f t="shared" si="1"/>
        <v>2400,!-Density {kg/m3}</v>
      </c>
    </row>
    <row r="118" spans="1:9" x14ac:dyDescent="0.3">
      <c r="A118">
        <v>100</v>
      </c>
      <c r="B118">
        <v>0</v>
      </c>
      <c r="C118" t="s">
        <v>12</v>
      </c>
      <c r="D118" t="s">
        <v>7</v>
      </c>
      <c r="E118" t="s">
        <v>353</v>
      </c>
      <c r="I118" t="str">
        <f t="shared" si="1"/>
        <v>1000,!-Specific Heat {J/kg-K}</v>
      </c>
    </row>
    <row r="119" spans="1:9" x14ac:dyDescent="0.3">
      <c r="A119" t="s">
        <v>352</v>
      </c>
      <c r="B119" t="s">
        <v>12</v>
      </c>
      <c r="D119" t="s">
        <v>7</v>
      </c>
      <c r="E119" t="s">
        <v>330</v>
      </c>
      <c r="I119" t="str">
        <f t="shared" si="1"/>
        <v>0.9,!-Thermal Absorptance</v>
      </c>
    </row>
    <row r="120" spans="1:9" x14ac:dyDescent="0.3">
      <c r="A120" t="s">
        <v>354</v>
      </c>
      <c r="B120" t="s">
        <v>12</v>
      </c>
      <c r="D120" t="s">
        <v>7</v>
      </c>
      <c r="E120" t="s">
        <v>331</v>
      </c>
      <c r="I120" t="str">
        <f t="shared" si="1"/>
        <v>0.7,!-Solar Absorptance</v>
      </c>
    </row>
    <row r="121" spans="1:9" x14ac:dyDescent="0.3">
      <c r="A121" t="s">
        <v>354</v>
      </c>
      <c r="B121" t="s">
        <v>18</v>
      </c>
      <c r="D121" t="s">
        <v>7</v>
      </c>
      <c r="E121" t="s">
        <v>332</v>
      </c>
      <c r="I121" t="str">
        <f t="shared" si="1"/>
        <v>0.7;!-Visible Absorptance</v>
      </c>
    </row>
    <row r="122" spans="1:9" x14ac:dyDescent="0.3">
      <c r="I122" t="str">
        <f t="shared" si="1"/>
        <v/>
      </c>
    </row>
    <row r="123" spans="1:9" x14ac:dyDescent="0.3">
      <c r="A123" t="s">
        <v>343</v>
      </c>
      <c r="B123" t="s">
        <v>344</v>
      </c>
      <c r="I123" t="str">
        <f t="shared" si="1"/>
        <v>Material,</v>
      </c>
    </row>
    <row r="124" spans="1:9" x14ac:dyDescent="0.3">
      <c r="A124" t="s">
        <v>345</v>
      </c>
      <c r="B124" t="s">
        <v>371</v>
      </c>
      <c r="D124" t="s">
        <v>372</v>
      </c>
      <c r="E124" t="s">
        <v>333</v>
      </c>
      <c r="I124" t="str">
        <f t="shared" si="1"/>
        <v>Cerâmica laje tavela 24x7x20,  !- Name</v>
      </c>
    </row>
    <row r="125" spans="1:9" x14ac:dyDescent="0.3">
      <c r="A125" t="s">
        <v>349</v>
      </c>
      <c r="B125" t="s">
        <v>350</v>
      </c>
      <c r="D125" t="s">
        <v>7</v>
      </c>
      <c r="E125" t="s">
        <v>326</v>
      </c>
      <c r="I125" t="str">
        <f t="shared" si="1"/>
        <v>Rough,!-Roughness</v>
      </c>
    </row>
    <row r="126" spans="1:9" x14ac:dyDescent="0.3">
      <c r="A126" t="s">
        <v>351</v>
      </c>
      <c r="B126">
        <v>12</v>
      </c>
      <c r="C126" t="s">
        <v>12</v>
      </c>
      <c r="D126" t="s">
        <v>7</v>
      </c>
      <c r="E126" t="s">
        <v>327</v>
      </c>
      <c r="I126" t="str">
        <f t="shared" si="1"/>
        <v>0.012,!-Thickness {m}</v>
      </c>
    </row>
    <row r="127" spans="1:9" x14ac:dyDescent="0.3">
      <c r="A127" t="s">
        <v>373</v>
      </c>
      <c r="B127">
        <v>5</v>
      </c>
      <c r="C127" t="s">
        <v>12</v>
      </c>
      <c r="D127" t="s">
        <v>7</v>
      </c>
      <c r="E127" t="s">
        <v>328</v>
      </c>
      <c r="I127" t="str">
        <f t="shared" si="1"/>
        <v>1.05,!-Conductivity {W/m-K}</v>
      </c>
    </row>
    <row r="128" spans="1:9" x14ac:dyDescent="0.3">
      <c r="A128">
        <v>200</v>
      </c>
      <c r="B128">
        <v>0</v>
      </c>
      <c r="C128" t="s">
        <v>12</v>
      </c>
      <c r="D128" t="s">
        <v>7</v>
      </c>
      <c r="E128" t="s">
        <v>329</v>
      </c>
      <c r="I128" t="str">
        <f t="shared" si="1"/>
        <v>2000,!-Density {kg/m3}</v>
      </c>
    </row>
    <row r="129" spans="1:9" x14ac:dyDescent="0.3">
      <c r="A129">
        <v>920</v>
      </c>
      <c r="B129" t="s">
        <v>12</v>
      </c>
      <c r="D129" t="s">
        <v>7</v>
      </c>
      <c r="E129" t="s">
        <v>353</v>
      </c>
      <c r="I129" t="str">
        <f t="shared" si="1"/>
        <v>920,!-Specific Heat {J/kg-K}</v>
      </c>
    </row>
    <row r="130" spans="1:9" x14ac:dyDescent="0.3">
      <c r="A130" t="s">
        <v>352</v>
      </c>
      <c r="B130" t="s">
        <v>12</v>
      </c>
      <c r="D130" t="s">
        <v>7</v>
      </c>
      <c r="E130" t="s">
        <v>330</v>
      </c>
      <c r="I130" t="str">
        <f t="shared" ref="I130:I193" si="2">CONCATENATE(A130,B130,C130,D130,E130,F130,G130)</f>
        <v>0.9,!-Thermal Absorptance</v>
      </c>
    </row>
    <row r="131" spans="1:9" x14ac:dyDescent="0.3">
      <c r="A131" t="s">
        <v>354</v>
      </c>
      <c r="B131" t="s">
        <v>12</v>
      </c>
      <c r="D131" t="s">
        <v>7</v>
      </c>
      <c r="E131" t="s">
        <v>331</v>
      </c>
      <c r="I131" t="str">
        <f t="shared" si="2"/>
        <v>0.7,!-Solar Absorptance</v>
      </c>
    </row>
    <row r="132" spans="1:9" x14ac:dyDescent="0.3">
      <c r="A132" t="s">
        <v>354</v>
      </c>
      <c r="B132" t="s">
        <v>18</v>
      </c>
      <c r="D132" t="s">
        <v>7</v>
      </c>
      <c r="E132" t="s">
        <v>332</v>
      </c>
      <c r="I132" t="str">
        <f t="shared" si="2"/>
        <v>0.7;!-Visible Absorptance</v>
      </c>
    </row>
    <row r="133" spans="1:9" x14ac:dyDescent="0.3">
      <c r="I133" t="str">
        <f t="shared" si="2"/>
        <v/>
      </c>
    </row>
    <row r="134" spans="1:9" x14ac:dyDescent="0.3">
      <c r="A134" t="s">
        <v>343</v>
      </c>
      <c r="B134" t="s">
        <v>344</v>
      </c>
      <c r="I134" t="str">
        <f t="shared" si="2"/>
        <v>Material,</v>
      </c>
    </row>
    <row r="135" spans="1:9" x14ac:dyDescent="0.3">
      <c r="A135" t="s">
        <v>367</v>
      </c>
      <c r="B135" t="s">
        <v>374</v>
      </c>
      <c r="D135">
        <v>30</v>
      </c>
      <c r="E135" t="s">
        <v>334</v>
      </c>
      <c r="I135" t="str">
        <f t="shared" si="2"/>
        <v>Concreto+EPS laje tavela30x7x125,  !- Name</v>
      </c>
    </row>
    <row r="136" spans="1:9" x14ac:dyDescent="0.3">
      <c r="A136" t="s">
        <v>349</v>
      </c>
      <c r="B136" t="s">
        <v>350</v>
      </c>
      <c r="D136" t="s">
        <v>7</v>
      </c>
      <c r="E136" t="s">
        <v>326</v>
      </c>
      <c r="I136" t="str">
        <f t="shared" si="2"/>
        <v>Rough,!-Roughness</v>
      </c>
    </row>
    <row r="137" spans="1:9" x14ac:dyDescent="0.3">
      <c r="A137" t="s">
        <v>351</v>
      </c>
      <c r="B137">
        <v>7</v>
      </c>
      <c r="C137" t="s">
        <v>12</v>
      </c>
      <c r="D137" t="s">
        <v>7</v>
      </c>
      <c r="E137" t="s">
        <v>327</v>
      </c>
      <c r="I137" t="str">
        <f t="shared" si="2"/>
        <v>0.07,!-Thickness {m}</v>
      </c>
    </row>
    <row r="138" spans="1:9" x14ac:dyDescent="0.3">
      <c r="A138" t="s">
        <v>375</v>
      </c>
      <c r="B138">
        <v>23</v>
      </c>
      <c r="C138" t="s">
        <v>12</v>
      </c>
      <c r="D138" t="s">
        <v>7</v>
      </c>
      <c r="E138" t="s">
        <v>328</v>
      </c>
      <c r="I138" t="str">
        <f t="shared" si="2"/>
        <v>0.223,!-Conductivity {W/m-K}</v>
      </c>
    </row>
    <row r="139" spans="1:9" x14ac:dyDescent="0.3">
      <c r="A139">
        <v>373</v>
      </c>
      <c r="B139" t="s">
        <v>12</v>
      </c>
      <c r="D139" t="s">
        <v>7</v>
      </c>
      <c r="E139" t="s">
        <v>329</v>
      </c>
      <c r="I139" t="str">
        <f t="shared" si="2"/>
        <v>373,!-Density {kg/m3}</v>
      </c>
    </row>
    <row r="140" spans="1:9" x14ac:dyDescent="0.3">
      <c r="A140">
        <v>100</v>
      </c>
      <c r="B140">
        <v>0</v>
      </c>
      <c r="C140" t="s">
        <v>12</v>
      </c>
      <c r="D140" t="s">
        <v>7</v>
      </c>
      <c r="E140" t="s">
        <v>353</v>
      </c>
      <c r="I140" t="str">
        <f t="shared" si="2"/>
        <v>1000,!-Specific Heat {J/kg-K}</v>
      </c>
    </row>
    <row r="141" spans="1:9" x14ac:dyDescent="0.3">
      <c r="A141" t="s">
        <v>352</v>
      </c>
      <c r="B141" t="s">
        <v>12</v>
      </c>
      <c r="D141" t="s">
        <v>7</v>
      </c>
      <c r="E141" t="s">
        <v>330</v>
      </c>
      <c r="I141" t="str">
        <f t="shared" si="2"/>
        <v>0.9,!-Thermal Absorptance</v>
      </c>
    </row>
    <row r="142" spans="1:9" x14ac:dyDescent="0.3">
      <c r="A142" t="s">
        <v>354</v>
      </c>
      <c r="B142" t="s">
        <v>12</v>
      </c>
      <c r="D142" t="s">
        <v>7</v>
      </c>
      <c r="E142" t="s">
        <v>331</v>
      </c>
      <c r="I142" t="str">
        <f t="shared" si="2"/>
        <v>0.7,!-Solar Absorptance</v>
      </c>
    </row>
    <row r="143" spans="1:9" x14ac:dyDescent="0.3">
      <c r="A143" t="s">
        <v>354</v>
      </c>
      <c r="B143" t="s">
        <v>18</v>
      </c>
      <c r="D143" t="s">
        <v>7</v>
      </c>
      <c r="E143" t="s">
        <v>332</v>
      </c>
      <c r="I143" t="str">
        <f t="shared" si="2"/>
        <v>0.7;!-Visible Absorptance</v>
      </c>
    </row>
    <row r="144" spans="1:9" x14ac:dyDescent="0.3">
      <c r="I144" t="str">
        <f t="shared" si="2"/>
        <v/>
      </c>
    </row>
    <row r="145" spans="1:9" x14ac:dyDescent="0.3">
      <c r="A145" t="s">
        <v>343</v>
      </c>
      <c r="B145" t="s">
        <v>344</v>
      </c>
      <c r="I145" t="str">
        <f t="shared" si="2"/>
        <v>Material,</v>
      </c>
    </row>
    <row r="146" spans="1:9" x14ac:dyDescent="0.3">
      <c r="A146" t="s">
        <v>376</v>
      </c>
      <c r="B146" t="s">
        <v>377</v>
      </c>
      <c r="D146" t="s">
        <v>7</v>
      </c>
      <c r="E146" t="s">
        <v>8</v>
      </c>
      <c r="I146" t="str">
        <f t="shared" si="2"/>
        <v>Piso cerâmico,!-Name</v>
      </c>
    </row>
    <row r="147" spans="1:9" x14ac:dyDescent="0.3">
      <c r="A147" t="s">
        <v>349</v>
      </c>
      <c r="B147" t="s">
        <v>350</v>
      </c>
      <c r="D147" t="s">
        <v>7</v>
      </c>
      <c r="E147" t="s">
        <v>326</v>
      </c>
      <c r="I147" t="str">
        <f t="shared" si="2"/>
        <v>Rough,!-Roughness</v>
      </c>
    </row>
    <row r="148" spans="1:9" x14ac:dyDescent="0.3">
      <c r="A148" t="s">
        <v>351</v>
      </c>
      <c r="B148">
        <v>75</v>
      </c>
      <c r="C148" t="s">
        <v>12</v>
      </c>
      <c r="D148" t="s">
        <v>7</v>
      </c>
      <c r="E148" t="s">
        <v>327</v>
      </c>
      <c r="I148" t="str">
        <f t="shared" si="2"/>
        <v>0.075,!-Thickness {m}</v>
      </c>
    </row>
    <row r="149" spans="1:9" x14ac:dyDescent="0.3">
      <c r="A149" t="s">
        <v>373</v>
      </c>
      <c r="B149">
        <v>5</v>
      </c>
      <c r="C149" t="s">
        <v>12</v>
      </c>
      <c r="D149" t="s">
        <v>7</v>
      </c>
      <c r="E149" t="s">
        <v>328</v>
      </c>
      <c r="I149" t="str">
        <f t="shared" si="2"/>
        <v>1.05,!-Conductivity {W/m-K}</v>
      </c>
    </row>
    <row r="150" spans="1:9" x14ac:dyDescent="0.3">
      <c r="A150">
        <v>200</v>
      </c>
      <c r="B150">
        <v>0</v>
      </c>
      <c r="C150" t="s">
        <v>12</v>
      </c>
      <c r="D150" t="s">
        <v>7</v>
      </c>
      <c r="E150" t="s">
        <v>329</v>
      </c>
      <c r="I150" t="str">
        <f t="shared" si="2"/>
        <v>2000,!-Density {kg/m3}</v>
      </c>
    </row>
    <row r="151" spans="1:9" x14ac:dyDescent="0.3">
      <c r="A151">
        <v>920</v>
      </c>
      <c r="B151" t="s">
        <v>12</v>
      </c>
      <c r="D151" t="s">
        <v>7</v>
      </c>
      <c r="E151" t="s">
        <v>353</v>
      </c>
      <c r="I151" t="str">
        <f t="shared" si="2"/>
        <v>920,!-Specific Heat {J/kg-K}</v>
      </c>
    </row>
    <row r="152" spans="1:9" x14ac:dyDescent="0.3">
      <c r="A152" t="s">
        <v>352</v>
      </c>
      <c r="B152" t="s">
        <v>12</v>
      </c>
      <c r="D152" t="s">
        <v>7</v>
      </c>
      <c r="E152" t="s">
        <v>330</v>
      </c>
      <c r="I152" t="str">
        <f t="shared" si="2"/>
        <v>0.9,!-Thermal Absorptance</v>
      </c>
    </row>
    <row r="153" spans="1:9" x14ac:dyDescent="0.3">
      <c r="A153" t="s">
        <v>354</v>
      </c>
      <c r="B153" t="s">
        <v>12</v>
      </c>
      <c r="D153" t="s">
        <v>7</v>
      </c>
      <c r="E153" t="s">
        <v>331</v>
      </c>
      <c r="I153" t="str">
        <f t="shared" si="2"/>
        <v>0.7,!-Solar Absorptance</v>
      </c>
    </row>
    <row r="154" spans="1:9" x14ac:dyDescent="0.3">
      <c r="A154" t="s">
        <v>354</v>
      </c>
      <c r="B154" t="s">
        <v>18</v>
      </c>
      <c r="D154" t="s">
        <v>7</v>
      </c>
      <c r="E154" t="s">
        <v>332</v>
      </c>
      <c r="I154" t="str">
        <f t="shared" si="2"/>
        <v>0.7;!-Visible Absorptance</v>
      </c>
    </row>
    <row r="155" spans="1:9" x14ac:dyDescent="0.3">
      <c r="I155" t="str">
        <f t="shared" si="2"/>
        <v/>
      </c>
    </row>
    <row r="156" spans="1:9" x14ac:dyDescent="0.3">
      <c r="A156" t="s">
        <v>343</v>
      </c>
      <c r="B156" t="s">
        <v>344</v>
      </c>
      <c r="I156" t="str">
        <f t="shared" si="2"/>
        <v>Material,</v>
      </c>
    </row>
    <row r="157" spans="1:9" x14ac:dyDescent="0.3">
      <c r="A157" t="s">
        <v>378</v>
      </c>
      <c r="B157" t="s">
        <v>379</v>
      </c>
      <c r="D157" t="s">
        <v>7</v>
      </c>
      <c r="E157" t="s">
        <v>8</v>
      </c>
      <c r="I157" t="str">
        <f t="shared" si="2"/>
        <v>contrapiso laje 2 cm,!-Name</v>
      </c>
    </row>
    <row r="158" spans="1:9" x14ac:dyDescent="0.3">
      <c r="A158" t="s">
        <v>349</v>
      </c>
      <c r="B158" t="s">
        <v>350</v>
      </c>
      <c r="D158" t="s">
        <v>7</v>
      </c>
      <c r="E158" t="s">
        <v>326</v>
      </c>
      <c r="I158" t="str">
        <f t="shared" si="2"/>
        <v>Rough,!-Roughness</v>
      </c>
    </row>
    <row r="159" spans="1:9" x14ac:dyDescent="0.3">
      <c r="A159" t="s">
        <v>351</v>
      </c>
      <c r="B159">
        <v>2</v>
      </c>
      <c r="C159" t="s">
        <v>12</v>
      </c>
      <c r="D159" t="s">
        <v>7</v>
      </c>
      <c r="E159" t="s">
        <v>327</v>
      </c>
      <c r="I159" t="str">
        <f t="shared" si="2"/>
        <v>0.02,!-Thickness {m}</v>
      </c>
    </row>
    <row r="160" spans="1:9" x14ac:dyDescent="0.3">
      <c r="A160" t="s">
        <v>357</v>
      </c>
      <c r="B160">
        <v>5</v>
      </c>
      <c r="C160" t="s">
        <v>12</v>
      </c>
      <c r="D160" t="s">
        <v>7</v>
      </c>
      <c r="E160" t="s">
        <v>328</v>
      </c>
      <c r="I160" t="str">
        <f t="shared" si="2"/>
        <v>1.15,!-Conductivity {W/m-K}</v>
      </c>
    </row>
    <row r="161" spans="1:9" x14ac:dyDescent="0.3">
      <c r="A161">
        <v>200</v>
      </c>
      <c r="B161">
        <v>0</v>
      </c>
      <c r="C161" t="s">
        <v>12</v>
      </c>
      <c r="D161" t="s">
        <v>7</v>
      </c>
      <c r="E161" t="s">
        <v>329</v>
      </c>
      <c r="I161" t="str">
        <f t="shared" si="2"/>
        <v>2000,!-Density {kg/m3}</v>
      </c>
    </row>
    <row r="162" spans="1:9" x14ac:dyDescent="0.3">
      <c r="A162">
        <v>100</v>
      </c>
      <c r="B162">
        <v>0</v>
      </c>
      <c r="C162" t="s">
        <v>12</v>
      </c>
      <c r="D162" t="s">
        <v>7</v>
      </c>
      <c r="E162" t="s">
        <v>353</v>
      </c>
      <c r="I162" t="str">
        <f t="shared" si="2"/>
        <v>1000,!-Specific Heat {J/kg-K}</v>
      </c>
    </row>
    <row r="163" spans="1:9" x14ac:dyDescent="0.3">
      <c r="A163" t="s">
        <v>352</v>
      </c>
      <c r="B163" t="s">
        <v>12</v>
      </c>
      <c r="D163" t="s">
        <v>7</v>
      </c>
      <c r="E163" t="s">
        <v>330</v>
      </c>
      <c r="I163" t="str">
        <f t="shared" si="2"/>
        <v>0.9,!-Thermal Absorptance</v>
      </c>
    </row>
    <row r="164" spans="1:9" x14ac:dyDescent="0.3">
      <c r="A164" t="s">
        <v>354</v>
      </c>
      <c r="B164" t="s">
        <v>12</v>
      </c>
      <c r="D164" t="s">
        <v>7</v>
      </c>
      <c r="E164" t="s">
        <v>331</v>
      </c>
      <c r="I164" t="str">
        <f t="shared" si="2"/>
        <v>0.7,!-Solar Absorptance</v>
      </c>
    </row>
    <row r="165" spans="1:9" x14ac:dyDescent="0.3">
      <c r="A165" t="s">
        <v>354</v>
      </c>
      <c r="B165" t="s">
        <v>18</v>
      </c>
      <c r="D165" t="s">
        <v>7</v>
      </c>
      <c r="E165" t="s">
        <v>332</v>
      </c>
      <c r="I165" t="str">
        <f t="shared" si="2"/>
        <v>0.7;!-Visible Absorptance</v>
      </c>
    </row>
    <row r="166" spans="1:9" x14ac:dyDescent="0.3">
      <c r="I166" t="str">
        <f t="shared" si="2"/>
        <v/>
      </c>
    </row>
    <row r="167" spans="1:9" x14ac:dyDescent="0.3">
      <c r="A167" t="s">
        <v>343</v>
      </c>
      <c r="B167" t="s">
        <v>344</v>
      </c>
      <c r="I167" t="str">
        <f t="shared" si="2"/>
        <v>Material,</v>
      </c>
    </row>
    <row r="168" spans="1:9" x14ac:dyDescent="0.3">
      <c r="A168" t="s">
        <v>338</v>
      </c>
      <c r="B168" t="s">
        <v>380</v>
      </c>
      <c r="D168" t="s">
        <v>7</v>
      </c>
      <c r="E168" t="s">
        <v>8</v>
      </c>
      <c r="I168" t="str">
        <f t="shared" si="2"/>
        <v>gesso forro,!-Name</v>
      </c>
    </row>
    <row r="169" spans="1:9" x14ac:dyDescent="0.3">
      <c r="A169" t="s">
        <v>349</v>
      </c>
      <c r="B169" t="s">
        <v>350</v>
      </c>
      <c r="D169" t="s">
        <v>7</v>
      </c>
      <c r="E169" t="s">
        <v>326</v>
      </c>
      <c r="I169" t="str">
        <f t="shared" si="2"/>
        <v>Rough,!-Roughness</v>
      </c>
    </row>
    <row r="170" spans="1:9" x14ac:dyDescent="0.3">
      <c r="A170" t="s">
        <v>351</v>
      </c>
      <c r="B170">
        <v>1</v>
      </c>
      <c r="C170" t="s">
        <v>12</v>
      </c>
      <c r="D170" t="s">
        <v>7</v>
      </c>
      <c r="E170" t="s">
        <v>327</v>
      </c>
      <c r="I170" t="str">
        <f t="shared" si="2"/>
        <v>0.01,!-Thickness {m}</v>
      </c>
    </row>
    <row r="171" spans="1:9" x14ac:dyDescent="0.3">
      <c r="A171" t="s">
        <v>359</v>
      </c>
      <c r="B171">
        <v>5</v>
      </c>
      <c r="C171" t="s">
        <v>12</v>
      </c>
      <c r="D171" t="s">
        <v>7</v>
      </c>
      <c r="E171" t="s">
        <v>328</v>
      </c>
      <c r="I171" t="str">
        <f t="shared" si="2"/>
        <v>0.35,!-Conductivity {W/m-K}</v>
      </c>
    </row>
    <row r="172" spans="1:9" x14ac:dyDescent="0.3">
      <c r="A172">
        <v>900</v>
      </c>
      <c r="B172" t="s">
        <v>12</v>
      </c>
      <c r="D172" t="s">
        <v>7</v>
      </c>
      <c r="E172" t="s">
        <v>329</v>
      </c>
      <c r="I172" t="str">
        <f t="shared" si="2"/>
        <v>900,!-Density {kg/m3}</v>
      </c>
    </row>
    <row r="173" spans="1:9" x14ac:dyDescent="0.3">
      <c r="A173">
        <v>870</v>
      </c>
      <c r="B173" t="s">
        <v>12</v>
      </c>
      <c r="D173" t="s">
        <v>7</v>
      </c>
      <c r="E173" t="s">
        <v>353</v>
      </c>
      <c r="I173" t="str">
        <f t="shared" si="2"/>
        <v>870,!-Specific Heat {J/kg-K}</v>
      </c>
    </row>
    <row r="174" spans="1:9" x14ac:dyDescent="0.3">
      <c r="A174" t="s">
        <v>352</v>
      </c>
      <c r="B174" t="s">
        <v>12</v>
      </c>
      <c r="D174" t="s">
        <v>7</v>
      </c>
      <c r="E174" t="s">
        <v>330</v>
      </c>
      <c r="I174" t="str">
        <f t="shared" si="2"/>
        <v>0.9,!-Thermal Absorptance</v>
      </c>
    </row>
    <row r="175" spans="1:9" x14ac:dyDescent="0.3">
      <c r="A175" t="s">
        <v>354</v>
      </c>
      <c r="B175" t="s">
        <v>12</v>
      </c>
      <c r="D175" t="s">
        <v>7</v>
      </c>
      <c r="E175" t="s">
        <v>331</v>
      </c>
      <c r="I175" t="str">
        <f t="shared" si="2"/>
        <v>0.7,!-Solar Absorptance</v>
      </c>
    </row>
    <row r="176" spans="1:9" x14ac:dyDescent="0.3">
      <c r="A176" t="s">
        <v>354</v>
      </c>
      <c r="B176" t="s">
        <v>18</v>
      </c>
      <c r="D176" t="s">
        <v>7</v>
      </c>
      <c r="E176" t="s">
        <v>332</v>
      </c>
      <c r="I176" t="str">
        <f t="shared" si="2"/>
        <v>0.7;!-Visible Absorptance</v>
      </c>
    </row>
    <row r="177" spans="1:9" x14ac:dyDescent="0.3">
      <c r="I177" t="str">
        <f t="shared" si="2"/>
        <v/>
      </c>
    </row>
    <row r="178" spans="1:9" x14ac:dyDescent="0.3">
      <c r="A178" t="s">
        <v>343</v>
      </c>
      <c r="B178" t="s">
        <v>344</v>
      </c>
      <c r="I178" t="str">
        <f t="shared" si="2"/>
        <v>Material,</v>
      </c>
    </row>
    <row r="179" spans="1:9" x14ac:dyDescent="0.3">
      <c r="A179" t="s">
        <v>367</v>
      </c>
      <c r="B179" t="s">
        <v>381</v>
      </c>
      <c r="D179" t="s">
        <v>382</v>
      </c>
      <c r="E179" t="s">
        <v>335</v>
      </c>
      <c r="I179" t="str">
        <f t="shared" si="2"/>
        <v>Concreto laje nervurada c/EPS,  !- Name</v>
      </c>
    </row>
    <row r="180" spans="1:9" x14ac:dyDescent="0.3">
      <c r="A180" t="s">
        <v>349</v>
      </c>
      <c r="B180" t="s">
        <v>350</v>
      </c>
      <c r="D180" t="s">
        <v>7</v>
      </c>
      <c r="E180" t="s">
        <v>326</v>
      </c>
      <c r="I180" t="str">
        <f t="shared" si="2"/>
        <v>Rough,!-Roughness</v>
      </c>
    </row>
    <row r="181" spans="1:9" x14ac:dyDescent="0.3">
      <c r="A181" t="s">
        <v>351</v>
      </c>
      <c r="B181">
        <v>75</v>
      </c>
      <c r="C181" t="s">
        <v>12</v>
      </c>
      <c r="D181" t="s">
        <v>7</v>
      </c>
      <c r="E181" t="s">
        <v>327</v>
      </c>
      <c r="I181" t="str">
        <f t="shared" si="2"/>
        <v>0.075,!-Thickness {m}</v>
      </c>
    </row>
    <row r="182" spans="1:9" x14ac:dyDescent="0.3">
      <c r="A182" t="s">
        <v>369</v>
      </c>
      <c r="B182">
        <v>5</v>
      </c>
      <c r="C182" t="s">
        <v>12</v>
      </c>
      <c r="D182" t="s">
        <v>7</v>
      </c>
      <c r="E182" t="s">
        <v>328</v>
      </c>
      <c r="I182" t="str">
        <f t="shared" si="2"/>
        <v>1.75,!-Conductivity {W/m-K}</v>
      </c>
    </row>
    <row r="183" spans="1:9" x14ac:dyDescent="0.3">
      <c r="A183">
        <v>220</v>
      </c>
      <c r="B183">
        <v>0</v>
      </c>
      <c r="C183" t="s">
        <v>12</v>
      </c>
      <c r="D183" t="s">
        <v>7</v>
      </c>
      <c r="E183" t="s">
        <v>329</v>
      </c>
      <c r="I183" t="str">
        <f t="shared" si="2"/>
        <v>2200,!-Density {kg/m3}</v>
      </c>
    </row>
    <row r="184" spans="1:9" x14ac:dyDescent="0.3">
      <c r="A184">
        <v>100</v>
      </c>
      <c r="B184">
        <v>0</v>
      </c>
      <c r="C184" t="s">
        <v>12</v>
      </c>
      <c r="D184" t="s">
        <v>7</v>
      </c>
      <c r="E184" t="s">
        <v>353</v>
      </c>
      <c r="I184" t="str">
        <f t="shared" si="2"/>
        <v>1000,!-Specific Heat {J/kg-K}</v>
      </c>
    </row>
    <row r="185" spans="1:9" x14ac:dyDescent="0.3">
      <c r="A185" t="s">
        <v>352</v>
      </c>
      <c r="B185" t="s">
        <v>12</v>
      </c>
      <c r="D185" t="s">
        <v>7</v>
      </c>
      <c r="E185" t="s">
        <v>330</v>
      </c>
      <c r="I185" t="str">
        <f t="shared" si="2"/>
        <v>0.9,!-Thermal Absorptance</v>
      </c>
    </row>
    <row r="186" spans="1:9" x14ac:dyDescent="0.3">
      <c r="A186" t="s">
        <v>354</v>
      </c>
      <c r="B186" t="s">
        <v>12</v>
      </c>
      <c r="D186" t="s">
        <v>7</v>
      </c>
      <c r="E186" t="s">
        <v>331</v>
      </c>
      <c r="I186" t="str">
        <f t="shared" si="2"/>
        <v>0.7,!-Solar Absorptance</v>
      </c>
    </row>
    <row r="187" spans="1:9" x14ac:dyDescent="0.3">
      <c r="A187" t="s">
        <v>354</v>
      </c>
      <c r="B187" t="s">
        <v>18</v>
      </c>
      <c r="D187" t="s">
        <v>7</v>
      </c>
      <c r="E187" t="s">
        <v>332</v>
      </c>
      <c r="I187" t="str">
        <f t="shared" si="2"/>
        <v>0.7;!-Visible Absorptance</v>
      </c>
    </row>
    <row r="188" spans="1:9" x14ac:dyDescent="0.3">
      <c r="I188" t="str">
        <f t="shared" si="2"/>
        <v/>
      </c>
    </row>
    <row r="189" spans="1:9" x14ac:dyDescent="0.3">
      <c r="A189" t="s">
        <v>343</v>
      </c>
      <c r="B189" t="s">
        <v>344</v>
      </c>
      <c r="I189" t="str">
        <f t="shared" si="2"/>
        <v>Material,</v>
      </c>
    </row>
    <row r="190" spans="1:9" x14ac:dyDescent="0.3">
      <c r="A190" t="s">
        <v>337</v>
      </c>
      <c r="B190" t="s">
        <v>383</v>
      </c>
      <c r="D190" t="s">
        <v>384</v>
      </c>
      <c r="E190" t="s">
        <v>325</v>
      </c>
      <c r="I190" t="str">
        <f t="shared" si="2"/>
        <v>argamassa laje pré-moldada,!- Name</v>
      </c>
    </row>
    <row r="191" spans="1:9" x14ac:dyDescent="0.3">
      <c r="A191" t="s">
        <v>349</v>
      </c>
      <c r="B191" t="s">
        <v>350</v>
      </c>
      <c r="D191" t="s">
        <v>7</v>
      </c>
      <c r="E191" t="s">
        <v>326</v>
      </c>
      <c r="I191" t="str">
        <f t="shared" si="2"/>
        <v>Rough,!-Roughness</v>
      </c>
    </row>
    <row r="192" spans="1:9" x14ac:dyDescent="0.3">
      <c r="A192" t="s">
        <v>351</v>
      </c>
      <c r="B192">
        <v>1</v>
      </c>
      <c r="C192" t="s">
        <v>12</v>
      </c>
      <c r="D192" t="s">
        <v>7</v>
      </c>
      <c r="E192" t="s">
        <v>327</v>
      </c>
      <c r="I192" t="str">
        <f t="shared" si="2"/>
        <v>0.01,!-Thickness {m}</v>
      </c>
    </row>
    <row r="193" spans="1:9" x14ac:dyDescent="0.3">
      <c r="A193" t="s">
        <v>357</v>
      </c>
      <c r="B193">
        <v>5</v>
      </c>
      <c r="C193" t="s">
        <v>12</v>
      </c>
      <c r="D193" t="s">
        <v>7</v>
      </c>
      <c r="E193" t="s">
        <v>328</v>
      </c>
      <c r="I193" t="str">
        <f t="shared" si="2"/>
        <v>1.15,!-Conductivity {W/m-K}</v>
      </c>
    </row>
    <row r="194" spans="1:9" x14ac:dyDescent="0.3">
      <c r="A194">
        <v>200</v>
      </c>
      <c r="B194">
        <v>0</v>
      </c>
      <c r="C194" t="s">
        <v>12</v>
      </c>
      <c r="D194" t="s">
        <v>7</v>
      </c>
      <c r="E194" t="s">
        <v>329</v>
      </c>
      <c r="I194" t="str">
        <f t="shared" ref="I194:I257" si="3">CONCATENATE(A194,B194,C194,D194,E194,F194,G194)</f>
        <v>2000,!-Density {kg/m3}</v>
      </c>
    </row>
    <row r="195" spans="1:9" x14ac:dyDescent="0.3">
      <c r="A195">
        <v>100</v>
      </c>
      <c r="B195">
        <v>0</v>
      </c>
      <c r="C195" t="s">
        <v>12</v>
      </c>
      <c r="D195" t="s">
        <v>7</v>
      </c>
      <c r="E195" t="s">
        <v>353</v>
      </c>
      <c r="I195" t="str">
        <f t="shared" si="3"/>
        <v>1000,!-Specific Heat {J/kg-K}</v>
      </c>
    </row>
    <row r="196" spans="1:9" x14ac:dyDescent="0.3">
      <c r="A196" t="s">
        <v>352</v>
      </c>
      <c r="B196" t="s">
        <v>12</v>
      </c>
      <c r="D196" t="s">
        <v>7</v>
      </c>
      <c r="E196" t="s">
        <v>330</v>
      </c>
      <c r="I196" t="str">
        <f t="shared" si="3"/>
        <v>0.9,!-Thermal Absorptance</v>
      </c>
    </row>
    <row r="197" spans="1:9" x14ac:dyDescent="0.3">
      <c r="A197" t="s">
        <v>354</v>
      </c>
      <c r="B197" t="s">
        <v>12</v>
      </c>
      <c r="D197" t="s">
        <v>7</v>
      </c>
      <c r="E197" t="s">
        <v>331</v>
      </c>
      <c r="I197" t="str">
        <f t="shared" si="3"/>
        <v>0.7,!-Solar Absorptance</v>
      </c>
    </row>
    <row r="198" spans="1:9" x14ac:dyDescent="0.3">
      <c r="A198" t="s">
        <v>354</v>
      </c>
      <c r="B198" t="s">
        <v>18</v>
      </c>
      <c r="D198" t="s">
        <v>7</v>
      </c>
      <c r="E198" t="s">
        <v>332</v>
      </c>
      <c r="I198" t="str">
        <f t="shared" si="3"/>
        <v>0.7;!-Visible Absorptance</v>
      </c>
    </row>
    <row r="199" spans="1:9" x14ac:dyDescent="0.3">
      <c r="I199" t="str">
        <f t="shared" si="3"/>
        <v/>
      </c>
    </row>
    <row r="200" spans="1:9" x14ac:dyDescent="0.3">
      <c r="A200" t="s">
        <v>343</v>
      </c>
      <c r="B200" t="s">
        <v>344</v>
      </c>
      <c r="I200" t="str">
        <f t="shared" si="3"/>
        <v>Material,</v>
      </c>
    </row>
    <row r="201" spans="1:9" x14ac:dyDescent="0.3">
      <c r="A201" t="s">
        <v>385</v>
      </c>
      <c r="B201" t="s">
        <v>411</v>
      </c>
      <c r="D201" t="s">
        <v>386</v>
      </c>
      <c r="E201" t="s">
        <v>336</v>
      </c>
      <c r="I201" t="str">
        <f t="shared" si="3"/>
        <v>EPS mais concreto laje nervurada,  !- Name</v>
      </c>
    </row>
    <row r="202" spans="1:9" x14ac:dyDescent="0.3">
      <c r="A202" t="s">
        <v>349</v>
      </c>
      <c r="B202" t="s">
        <v>350</v>
      </c>
      <c r="D202" t="s">
        <v>7</v>
      </c>
      <c r="E202" t="s">
        <v>326</v>
      </c>
      <c r="I202" t="str">
        <f t="shared" si="3"/>
        <v>Rough,!-Roughness</v>
      </c>
    </row>
    <row r="203" spans="1:9" x14ac:dyDescent="0.3">
      <c r="A203" t="s">
        <v>387</v>
      </c>
      <c r="B203">
        <v>5</v>
      </c>
      <c r="C203" t="s">
        <v>12</v>
      </c>
      <c r="D203" t="s">
        <v>7</v>
      </c>
      <c r="E203" t="s">
        <v>327</v>
      </c>
      <c r="I203" t="str">
        <f t="shared" si="3"/>
        <v>0.15,!-Thickness {m}</v>
      </c>
    </row>
    <row r="204" spans="1:9" x14ac:dyDescent="0.3">
      <c r="A204" t="s">
        <v>375</v>
      </c>
      <c r="B204">
        <v>87</v>
      </c>
      <c r="C204" t="s">
        <v>12</v>
      </c>
      <c r="D204" t="s">
        <v>7</v>
      </c>
      <c r="E204" t="s">
        <v>328</v>
      </c>
      <c r="I204" t="str">
        <f t="shared" si="3"/>
        <v>0.287,!-Conductivity {W/m-K}</v>
      </c>
    </row>
    <row r="205" spans="1:9" x14ac:dyDescent="0.3">
      <c r="A205">
        <v>401</v>
      </c>
      <c r="B205" t="s">
        <v>12</v>
      </c>
      <c r="D205" t="s">
        <v>7</v>
      </c>
      <c r="E205" t="s">
        <v>329</v>
      </c>
      <c r="I205" t="str">
        <f t="shared" si="3"/>
        <v>401,!-Density {kg/m3}</v>
      </c>
    </row>
    <row r="206" spans="1:9" x14ac:dyDescent="0.3">
      <c r="A206">
        <v>100</v>
      </c>
      <c r="B206">
        <v>0</v>
      </c>
      <c r="C206" t="s">
        <v>12</v>
      </c>
      <c r="D206" t="s">
        <v>7</v>
      </c>
      <c r="E206" t="s">
        <v>353</v>
      </c>
      <c r="I206" t="str">
        <f t="shared" si="3"/>
        <v>1000,!-Specific Heat {J/kg-K}</v>
      </c>
    </row>
    <row r="207" spans="1:9" x14ac:dyDescent="0.3">
      <c r="A207" t="s">
        <v>352</v>
      </c>
      <c r="B207" t="s">
        <v>12</v>
      </c>
      <c r="D207" t="s">
        <v>7</v>
      </c>
      <c r="E207" t="s">
        <v>330</v>
      </c>
      <c r="I207" t="str">
        <f t="shared" si="3"/>
        <v>0.9,!-Thermal Absorptance</v>
      </c>
    </row>
    <row r="208" spans="1:9" x14ac:dyDescent="0.3">
      <c r="A208" t="s">
        <v>354</v>
      </c>
      <c r="B208" t="s">
        <v>12</v>
      </c>
      <c r="D208" t="s">
        <v>7</v>
      </c>
      <c r="E208" t="s">
        <v>331</v>
      </c>
      <c r="I208" t="str">
        <f t="shared" si="3"/>
        <v>0.7,!-Solar Absorptance</v>
      </c>
    </row>
    <row r="209" spans="1:9" x14ac:dyDescent="0.3">
      <c r="A209" t="s">
        <v>354</v>
      </c>
      <c r="B209" t="s">
        <v>18</v>
      </c>
      <c r="D209" t="s">
        <v>7</v>
      </c>
      <c r="E209" t="s">
        <v>332</v>
      </c>
      <c r="I209" t="str">
        <f t="shared" si="3"/>
        <v>0.7;!-Visible Absorptance</v>
      </c>
    </row>
    <row r="210" spans="1:9" x14ac:dyDescent="0.3">
      <c r="I210" t="str">
        <f t="shared" si="3"/>
        <v/>
      </c>
    </row>
    <row r="211" spans="1:9" x14ac:dyDescent="0.3">
      <c r="A211" t="s">
        <v>343</v>
      </c>
      <c r="B211" t="s">
        <v>344</v>
      </c>
      <c r="I211" t="str">
        <f t="shared" si="3"/>
        <v>Material,</v>
      </c>
    </row>
    <row r="212" spans="1:9" x14ac:dyDescent="0.3">
      <c r="A212" t="s">
        <v>367</v>
      </c>
      <c r="B212" t="s">
        <v>388</v>
      </c>
      <c r="D212" t="s">
        <v>7</v>
      </c>
      <c r="E212" t="s">
        <v>8</v>
      </c>
      <c r="I212" t="str">
        <f t="shared" si="3"/>
        <v>Concreto laje alveolar,!-Name</v>
      </c>
    </row>
    <row r="213" spans="1:9" x14ac:dyDescent="0.3">
      <c r="A213" t="s">
        <v>349</v>
      </c>
      <c r="B213" t="s">
        <v>350</v>
      </c>
      <c r="D213" t="s">
        <v>7</v>
      </c>
      <c r="E213" t="s">
        <v>326</v>
      </c>
      <c r="I213" t="str">
        <f t="shared" si="3"/>
        <v>Rough,!-Roughness</v>
      </c>
    </row>
    <row r="214" spans="1:9" x14ac:dyDescent="0.3">
      <c r="A214" t="s">
        <v>351</v>
      </c>
      <c r="B214">
        <v>5</v>
      </c>
      <c r="C214" t="s">
        <v>12</v>
      </c>
      <c r="D214" t="s">
        <v>7</v>
      </c>
      <c r="E214" t="s">
        <v>327</v>
      </c>
      <c r="I214" t="str">
        <f t="shared" si="3"/>
        <v>0.05,!-Thickness {m}</v>
      </c>
    </row>
    <row r="215" spans="1:9" x14ac:dyDescent="0.3">
      <c r="A215" t="s">
        <v>357</v>
      </c>
      <c r="B215">
        <v>5</v>
      </c>
      <c r="C215" t="s">
        <v>12</v>
      </c>
      <c r="D215" t="s">
        <v>7</v>
      </c>
      <c r="E215" t="s">
        <v>328</v>
      </c>
      <c r="I215" t="str">
        <f t="shared" si="3"/>
        <v>1.15,!-Conductivity {W/m-K}</v>
      </c>
    </row>
    <row r="216" spans="1:9" x14ac:dyDescent="0.3">
      <c r="A216">
        <v>220</v>
      </c>
      <c r="B216">
        <v>0</v>
      </c>
      <c r="C216" t="s">
        <v>12</v>
      </c>
      <c r="D216" t="s">
        <v>7</v>
      </c>
      <c r="E216" t="s">
        <v>329</v>
      </c>
      <c r="I216" t="str">
        <f t="shared" si="3"/>
        <v>2200,!-Density {kg/m3}</v>
      </c>
    </row>
    <row r="217" spans="1:9" x14ac:dyDescent="0.3">
      <c r="A217">
        <v>100</v>
      </c>
      <c r="B217">
        <v>0</v>
      </c>
      <c r="C217" t="s">
        <v>12</v>
      </c>
      <c r="D217" t="s">
        <v>7</v>
      </c>
      <c r="E217" t="s">
        <v>353</v>
      </c>
      <c r="I217" t="str">
        <f t="shared" si="3"/>
        <v>1000,!-Specific Heat {J/kg-K}</v>
      </c>
    </row>
    <row r="218" spans="1:9" x14ac:dyDescent="0.3">
      <c r="A218" t="s">
        <v>352</v>
      </c>
      <c r="B218" t="s">
        <v>12</v>
      </c>
      <c r="D218" t="s">
        <v>7</v>
      </c>
      <c r="E218" t="s">
        <v>330</v>
      </c>
      <c r="I218" t="str">
        <f t="shared" si="3"/>
        <v>0.9,!-Thermal Absorptance</v>
      </c>
    </row>
    <row r="219" spans="1:9" x14ac:dyDescent="0.3">
      <c r="A219" t="s">
        <v>354</v>
      </c>
      <c r="B219" t="s">
        <v>12</v>
      </c>
      <c r="D219" t="s">
        <v>7</v>
      </c>
      <c r="E219" t="s">
        <v>331</v>
      </c>
      <c r="I219" t="str">
        <f t="shared" si="3"/>
        <v>0.7,!-Solar Absorptance</v>
      </c>
    </row>
    <row r="220" spans="1:9" x14ac:dyDescent="0.3">
      <c r="A220" t="s">
        <v>354</v>
      </c>
      <c r="B220" t="s">
        <v>18</v>
      </c>
      <c r="D220" t="s">
        <v>7</v>
      </c>
      <c r="E220" t="s">
        <v>332</v>
      </c>
      <c r="I220" t="str">
        <f t="shared" si="3"/>
        <v>0.7;!-Visible Absorptance</v>
      </c>
    </row>
    <row r="221" spans="1:9" x14ac:dyDescent="0.3">
      <c r="I221" t="str">
        <f t="shared" si="3"/>
        <v/>
      </c>
    </row>
    <row r="222" spans="1:9" x14ac:dyDescent="0.3">
      <c r="A222" t="s">
        <v>343</v>
      </c>
      <c r="B222" t="s">
        <v>344</v>
      </c>
      <c r="I222" t="str">
        <f t="shared" si="3"/>
        <v>Material,</v>
      </c>
    </row>
    <row r="223" spans="1:9" x14ac:dyDescent="0.3">
      <c r="A223" t="s">
        <v>367</v>
      </c>
      <c r="B223" t="s">
        <v>389</v>
      </c>
      <c r="D223" t="s">
        <v>7</v>
      </c>
      <c r="E223" t="s">
        <v>8</v>
      </c>
      <c r="I223" t="str">
        <f t="shared" si="3"/>
        <v>Concreto laje maciça,!-Name</v>
      </c>
    </row>
    <row r="224" spans="1:9" x14ac:dyDescent="0.3">
      <c r="A224" t="s">
        <v>349</v>
      </c>
      <c r="B224" t="s">
        <v>350</v>
      </c>
      <c r="D224" t="s">
        <v>7</v>
      </c>
      <c r="E224" t="s">
        <v>326</v>
      </c>
      <c r="I224" t="str">
        <f t="shared" si="3"/>
        <v>Rough,!-Roughness</v>
      </c>
    </row>
    <row r="225" spans="1:9" x14ac:dyDescent="0.3">
      <c r="A225" t="s">
        <v>387</v>
      </c>
      <c r="B225" t="s">
        <v>12</v>
      </c>
      <c r="D225" t="s">
        <v>7</v>
      </c>
      <c r="E225" t="s">
        <v>327</v>
      </c>
      <c r="I225" t="str">
        <f t="shared" si="3"/>
        <v>0.1,!-Thickness {m}</v>
      </c>
    </row>
    <row r="226" spans="1:9" x14ac:dyDescent="0.3">
      <c r="A226" t="s">
        <v>357</v>
      </c>
      <c r="B226">
        <v>5</v>
      </c>
      <c r="C226" t="s">
        <v>12</v>
      </c>
      <c r="D226" t="s">
        <v>7</v>
      </c>
      <c r="E226" t="s">
        <v>328</v>
      </c>
      <c r="I226" t="str">
        <f t="shared" si="3"/>
        <v>1.15,!-Conductivity {W/m-K}</v>
      </c>
    </row>
    <row r="227" spans="1:9" x14ac:dyDescent="0.3">
      <c r="A227">
        <v>220</v>
      </c>
      <c r="B227">
        <v>0</v>
      </c>
      <c r="C227" t="s">
        <v>12</v>
      </c>
      <c r="D227" t="s">
        <v>7</v>
      </c>
      <c r="E227" t="s">
        <v>329</v>
      </c>
      <c r="I227" t="str">
        <f t="shared" si="3"/>
        <v>2200,!-Density {kg/m3}</v>
      </c>
    </row>
    <row r="228" spans="1:9" x14ac:dyDescent="0.3">
      <c r="A228">
        <v>100</v>
      </c>
      <c r="B228">
        <v>0</v>
      </c>
      <c r="C228" t="s">
        <v>12</v>
      </c>
      <c r="D228" t="s">
        <v>7</v>
      </c>
      <c r="E228" t="s">
        <v>353</v>
      </c>
      <c r="I228" t="str">
        <f t="shared" si="3"/>
        <v>1000,!-Specific Heat {J/kg-K}</v>
      </c>
    </row>
    <row r="229" spans="1:9" x14ac:dyDescent="0.3">
      <c r="A229" t="s">
        <v>352</v>
      </c>
      <c r="B229" t="s">
        <v>12</v>
      </c>
      <c r="D229" t="s">
        <v>7</v>
      </c>
      <c r="E229" t="s">
        <v>330</v>
      </c>
      <c r="I229" t="str">
        <f t="shared" si="3"/>
        <v>0.9,!-Thermal Absorptance</v>
      </c>
    </row>
    <row r="230" spans="1:9" x14ac:dyDescent="0.3">
      <c r="A230" t="s">
        <v>354</v>
      </c>
      <c r="B230" t="s">
        <v>12</v>
      </c>
      <c r="D230" t="s">
        <v>7</v>
      </c>
      <c r="E230" t="s">
        <v>331</v>
      </c>
      <c r="I230" t="str">
        <f t="shared" si="3"/>
        <v>0.7,!-Solar Absorptance</v>
      </c>
    </row>
    <row r="231" spans="1:9" x14ac:dyDescent="0.3">
      <c r="A231" t="s">
        <v>354</v>
      </c>
      <c r="B231" t="s">
        <v>18</v>
      </c>
      <c r="D231" t="s">
        <v>7</v>
      </c>
      <c r="E231" t="s">
        <v>332</v>
      </c>
      <c r="I231" t="str">
        <f t="shared" si="3"/>
        <v>0.7;!-Visible Absorptance</v>
      </c>
    </row>
    <row r="232" spans="1:9" x14ac:dyDescent="0.3">
      <c r="I232" t="str">
        <f t="shared" si="3"/>
        <v/>
      </c>
    </row>
    <row r="233" spans="1:9" x14ac:dyDescent="0.3">
      <c r="A233" t="s">
        <v>343</v>
      </c>
      <c r="B233" t="s">
        <v>344</v>
      </c>
      <c r="I233" t="str">
        <f t="shared" si="3"/>
        <v>Material,</v>
      </c>
    </row>
    <row r="234" spans="1:9" x14ac:dyDescent="0.3">
      <c r="A234" t="s">
        <v>390</v>
      </c>
      <c r="B234" t="s">
        <v>391</v>
      </c>
      <c r="D234" t="s">
        <v>392</v>
      </c>
      <c r="E234" t="s">
        <v>336</v>
      </c>
      <c r="I234" t="str">
        <f t="shared" si="3"/>
        <v>Cêramica telha pre-moldada1,  !- Name</v>
      </c>
    </row>
    <row r="235" spans="1:9" x14ac:dyDescent="0.3">
      <c r="A235" t="s">
        <v>349</v>
      </c>
      <c r="B235" t="s">
        <v>350</v>
      </c>
      <c r="D235" t="s">
        <v>7</v>
      </c>
      <c r="E235" t="s">
        <v>326</v>
      </c>
      <c r="I235" t="str">
        <f t="shared" si="3"/>
        <v>Rough,!-Roughness</v>
      </c>
    </row>
    <row r="236" spans="1:9" x14ac:dyDescent="0.3">
      <c r="A236" t="s">
        <v>351</v>
      </c>
      <c r="B236">
        <v>1</v>
      </c>
      <c r="C236" t="s">
        <v>12</v>
      </c>
      <c r="D236" t="s">
        <v>7</v>
      </c>
      <c r="E236" t="s">
        <v>327</v>
      </c>
      <c r="I236" t="str">
        <f t="shared" si="3"/>
        <v>0.01,!-Thickness {m}</v>
      </c>
    </row>
    <row r="237" spans="1:9" x14ac:dyDescent="0.3">
      <c r="A237" t="s">
        <v>373</v>
      </c>
      <c r="B237">
        <v>5</v>
      </c>
      <c r="C237" t="s">
        <v>12</v>
      </c>
      <c r="D237" t="s">
        <v>7</v>
      </c>
      <c r="E237" t="s">
        <v>328</v>
      </c>
      <c r="I237" t="str">
        <f t="shared" si="3"/>
        <v>1.05,!-Conductivity {W/m-K}</v>
      </c>
    </row>
    <row r="238" spans="1:9" x14ac:dyDescent="0.3">
      <c r="A238">
        <v>200</v>
      </c>
      <c r="B238">
        <v>0</v>
      </c>
      <c r="C238" t="s">
        <v>12</v>
      </c>
      <c r="D238" t="s">
        <v>7</v>
      </c>
      <c r="E238" t="s">
        <v>329</v>
      </c>
      <c r="I238" t="str">
        <f t="shared" si="3"/>
        <v>2000,!-Density {kg/m3}</v>
      </c>
    </row>
    <row r="239" spans="1:9" x14ac:dyDescent="0.3">
      <c r="A239">
        <v>920</v>
      </c>
      <c r="B239" t="s">
        <v>12</v>
      </c>
      <c r="D239" t="s">
        <v>7</v>
      </c>
      <c r="E239" t="s">
        <v>353</v>
      </c>
      <c r="I239" t="str">
        <f t="shared" si="3"/>
        <v>920,!-Specific Heat {J/kg-K}</v>
      </c>
    </row>
    <row r="240" spans="1:9" x14ac:dyDescent="0.3">
      <c r="A240">
        <f>IF(A367=1,0.3,IF(A367=2,0.7,"xxx"))</f>
        <v>0.3</v>
      </c>
      <c r="B240" t="s">
        <v>12</v>
      </c>
      <c r="D240" t="s">
        <v>7</v>
      </c>
      <c r="E240" t="s">
        <v>330</v>
      </c>
      <c r="I240" t="str">
        <f t="shared" si="3"/>
        <v>0.3,!-Thermal Absorptance</v>
      </c>
    </row>
    <row r="241" spans="1:9" x14ac:dyDescent="0.3">
      <c r="A241" t="s">
        <v>354</v>
      </c>
      <c r="B241" t="s">
        <v>12</v>
      </c>
      <c r="D241" t="s">
        <v>7</v>
      </c>
      <c r="E241" t="s">
        <v>331</v>
      </c>
      <c r="I241" t="str">
        <f t="shared" si="3"/>
        <v>0.7,!-Solar Absorptance</v>
      </c>
    </row>
    <row r="242" spans="1:9" x14ac:dyDescent="0.3">
      <c r="A242" t="s">
        <v>354</v>
      </c>
      <c r="B242" t="s">
        <v>18</v>
      </c>
      <c r="D242" t="s">
        <v>7</v>
      </c>
      <c r="E242" t="s">
        <v>332</v>
      </c>
      <c r="I242" t="str">
        <f t="shared" si="3"/>
        <v>0.7;!-Visible Absorptance</v>
      </c>
    </row>
    <row r="243" spans="1:9" x14ac:dyDescent="0.3">
      <c r="I243" t="str">
        <f t="shared" si="3"/>
        <v/>
      </c>
    </row>
    <row r="244" spans="1:9" x14ac:dyDescent="0.3">
      <c r="A244" t="s">
        <v>343</v>
      </c>
      <c r="B244" t="s">
        <v>344</v>
      </c>
      <c r="I244" t="str">
        <f t="shared" si="3"/>
        <v>Material,</v>
      </c>
    </row>
    <row r="245" spans="1:9" x14ac:dyDescent="0.3">
      <c r="A245" t="s">
        <v>393</v>
      </c>
      <c r="B245" t="s">
        <v>394</v>
      </c>
      <c r="D245" t="s">
        <v>7</v>
      </c>
      <c r="E245" t="s">
        <v>8</v>
      </c>
      <c r="I245" t="str">
        <f t="shared" si="3"/>
        <v>fibrocimento telha,!-Name</v>
      </c>
    </row>
    <row r="246" spans="1:9" x14ac:dyDescent="0.3">
      <c r="A246" t="s">
        <v>349</v>
      </c>
      <c r="B246" t="s">
        <v>350</v>
      </c>
      <c r="D246" t="s">
        <v>7</v>
      </c>
      <c r="E246" t="s">
        <v>326</v>
      </c>
      <c r="I246" t="str">
        <f t="shared" si="3"/>
        <v>Rough,!-Roughness</v>
      </c>
    </row>
    <row r="247" spans="1:9" x14ac:dyDescent="0.3">
      <c r="A247" t="s">
        <v>351</v>
      </c>
      <c r="B247">
        <v>8</v>
      </c>
      <c r="C247" t="s">
        <v>12</v>
      </c>
      <c r="D247" t="s">
        <v>7</v>
      </c>
      <c r="E247" t="s">
        <v>327</v>
      </c>
      <c r="I247" t="str">
        <f t="shared" si="3"/>
        <v>0.08,!-Thickness {m}</v>
      </c>
    </row>
    <row r="248" spans="1:9" x14ac:dyDescent="0.3">
      <c r="A248" t="s">
        <v>352</v>
      </c>
      <c r="B248">
        <v>5</v>
      </c>
      <c r="C248" t="s">
        <v>12</v>
      </c>
      <c r="D248" t="s">
        <v>7</v>
      </c>
      <c r="E248" t="s">
        <v>328</v>
      </c>
      <c r="I248" t="str">
        <f t="shared" si="3"/>
        <v>0.95,!-Conductivity {W/m-K}</v>
      </c>
    </row>
    <row r="249" spans="1:9" x14ac:dyDescent="0.3">
      <c r="A249">
        <v>190</v>
      </c>
      <c r="B249">
        <v>0</v>
      </c>
      <c r="C249" t="s">
        <v>12</v>
      </c>
      <c r="D249" t="s">
        <v>7</v>
      </c>
      <c r="E249" t="s">
        <v>329</v>
      </c>
      <c r="I249" t="str">
        <f t="shared" si="3"/>
        <v>1900,!-Density {kg/m3}</v>
      </c>
    </row>
    <row r="250" spans="1:9" x14ac:dyDescent="0.3">
      <c r="A250">
        <v>840</v>
      </c>
      <c r="B250" t="s">
        <v>12</v>
      </c>
      <c r="D250" t="s">
        <v>7</v>
      </c>
      <c r="E250" t="s">
        <v>353</v>
      </c>
      <c r="I250" t="str">
        <f t="shared" si="3"/>
        <v>840,!-Specific Heat {J/kg-K}</v>
      </c>
    </row>
    <row r="251" spans="1:9" x14ac:dyDescent="0.3">
      <c r="A251">
        <f>IF(A367=1,0.3,IF(A367=2,0.7,"xxx"))</f>
        <v>0.3</v>
      </c>
      <c r="B251" t="s">
        <v>12</v>
      </c>
      <c r="D251" t="s">
        <v>7</v>
      </c>
      <c r="E251" t="s">
        <v>330</v>
      </c>
      <c r="I251" t="str">
        <f t="shared" si="3"/>
        <v>0.3,!-Thermal Absorptance</v>
      </c>
    </row>
    <row r="252" spans="1:9" x14ac:dyDescent="0.3">
      <c r="A252" t="s">
        <v>354</v>
      </c>
      <c r="B252" t="s">
        <v>12</v>
      </c>
      <c r="D252" t="s">
        <v>7</v>
      </c>
      <c r="E252" t="s">
        <v>331</v>
      </c>
      <c r="I252" t="str">
        <f t="shared" si="3"/>
        <v>0.7,!-Solar Absorptance</v>
      </c>
    </row>
    <row r="253" spans="1:9" x14ac:dyDescent="0.3">
      <c r="A253" t="s">
        <v>354</v>
      </c>
      <c r="B253" t="s">
        <v>18</v>
      </c>
      <c r="D253" t="s">
        <v>7</v>
      </c>
      <c r="E253" t="s">
        <v>332</v>
      </c>
      <c r="I253" t="str">
        <f t="shared" si="3"/>
        <v>0.7;!-Visible Absorptance</v>
      </c>
    </row>
    <row r="254" spans="1:9" x14ac:dyDescent="0.3">
      <c r="I254" t="str">
        <f t="shared" si="3"/>
        <v/>
      </c>
    </row>
    <row r="255" spans="1:9" x14ac:dyDescent="0.3">
      <c r="A255" t="s">
        <v>343</v>
      </c>
      <c r="B255" t="s">
        <v>344</v>
      </c>
      <c r="I255" t="str">
        <f t="shared" si="3"/>
        <v>Material,</v>
      </c>
    </row>
    <row r="256" spans="1:9" x14ac:dyDescent="0.3">
      <c r="A256" t="s">
        <v>412</v>
      </c>
      <c r="B256" t="s">
        <v>413</v>
      </c>
      <c r="D256" t="s">
        <v>7</v>
      </c>
      <c r="E256" t="s">
        <v>8</v>
      </c>
      <c r="I256" t="str">
        <f t="shared" si="3"/>
        <v>PVC forro,!-Name</v>
      </c>
    </row>
    <row r="257" spans="1:9" x14ac:dyDescent="0.3">
      <c r="A257" t="s">
        <v>349</v>
      </c>
      <c r="B257" t="s">
        <v>350</v>
      </c>
      <c r="D257" t="s">
        <v>7</v>
      </c>
      <c r="E257" t="s">
        <v>326</v>
      </c>
      <c r="I257" t="str">
        <f t="shared" si="3"/>
        <v>Rough,!-Roughness</v>
      </c>
    </row>
    <row r="258" spans="1:9" x14ac:dyDescent="0.3">
      <c r="A258" t="s">
        <v>351</v>
      </c>
      <c r="B258">
        <v>1</v>
      </c>
      <c r="C258" t="s">
        <v>12</v>
      </c>
      <c r="D258" t="s">
        <v>7</v>
      </c>
      <c r="E258" t="s">
        <v>327</v>
      </c>
      <c r="I258" t="str">
        <f t="shared" ref="I258:I321" si="4">CONCATENATE(A258,B258,C258,D258,E258,F258,G258)</f>
        <v>0.01,!-Thickness {m}</v>
      </c>
    </row>
    <row r="259" spans="1:9" x14ac:dyDescent="0.3">
      <c r="A259" t="s">
        <v>351</v>
      </c>
      <c r="B259">
        <v>71</v>
      </c>
      <c r="C259" t="s">
        <v>12</v>
      </c>
      <c r="D259" t="s">
        <v>7</v>
      </c>
      <c r="E259" t="s">
        <v>328</v>
      </c>
      <c r="I259" t="str">
        <f t="shared" si="4"/>
        <v>0.071,!-Conductivity {W/m-K}</v>
      </c>
    </row>
    <row r="260" spans="1:9" x14ac:dyDescent="0.3">
      <c r="A260">
        <v>273</v>
      </c>
      <c r="B260" t="s">
        <v>12</v>
      </c>
      <c r="D260" t="s">
        <v>7</v>
      </c>
      <c r="E260" t="s">
        <v>329</v>
      </c>
      <c r="I260" t="str">
        <f t="shared" si="4"/>
        <v>273,!-Density {kg/m3}</v>
      </c>
    </row>
    <row r="261" spans="1:9" x14ac:dyDescent="0.3">
      <c r="A261">
        <v>960</v>
      </c>
      <c r="B261" t="s">
        <v>12</v>
      </c>
      <c r="D261" t="s">
        <v>7</v>
      </c>
      <c r="E261" t="s">
        <v>353</v>
      </c>
      <c r="I261" t="str">
        <f t="shared" si="4"/>
        <v>960,!-Specific Heat {J/kg-K}</v>
      </c>
    </row>
    <row r="262" spans="1:9" x14ac:dyDescent="0.3">
      <c r="A262" t="s">
        <v>352</v>
      </c>
      <c r="B262" t="s">
        <v>12</v>
      </c>
      <c r="D262" t="s">
        <v>7</v>
      </c>
      <c r="E262" t="s">
        <v>330</v>
      </c>
      <c r="I262" t="str">
        <f t="shared" si="4"/>
        <v>0.9,!-Thermal Absorptance</v>
      </c>
    </row>
    <row r="263" spans="1:9" x14ac:dyDescent="0.3">
      <c r="A263" t="s">
        <v>354</v>
      </c>
      <c r="B263" t="s">
        <v>12</v>
      </c>
      <c r="D263" t="s">
        <v>7</v>
      </c>
      <c r="E263" t="s">
        <v>331</v>
      </c>
      <c r="I263" t="str">
        <f t="shared" si="4"/>
        <v>0.7,!-Solar Absorptance</v>
      </c>
    </row>
    <row r="264" spans="1:9" x14ac:dyDescent="0.3">
      <c r="A264" t="s">
        <v>354</v>
      </c>
      <c r="B264" t="s">
        <v>18</v>
      </c>
      <c r="D264" t="s">
        <v>7</v>
      </c>
      <c r="E264" t="s">
        <v>332</v>
      </c>
      <c r="I264" t="str">
        <f t="shared" si="4"/>
        <v>0.7;!-Visible Absorptance</v>
      </c>
    </row>
    <row r="265" spans="1:9" x14ac:dyDescent="0.3">
      <c r="I265" t="str">
        <f t="shared" si="4"/>
        <v/>
      </c>
    </row>
    <row r="266" spans="1:9" x14ac:dyDescent="0.3">
      <c r="A266" t="s">
        <v>343</v>
      </c>
      <c r="B266" t="s">
        <v>344</v>
      </c>
      <c r="I266" t="str">
        <f t="shared" si="4"/>
        <v>Material,</v>
      </c>
    </row>
    <row r="267" spans="1:9" x14ac:dyDescent="0.3">
      <c r="A267" t="s">
        <v>395</v>
      </c>
      <c r="B267" t="s">
        <v>396</v>
      </c>
      <c r="D267" t="s">
        <v>7</v>
      </c>
      <c r="E267" t="s">
        <v>8</v>
      </c>
      <c r="I267" t="str">
        <f t="shared" si="4"/>
        <v>Madeira forro,!-Name</v>
      </c>
    </row>
    <row r="268" spans="1:9" x14ac:dyDescent="0.3">
      <c r="A268" t="s">
        <v>349</v>
      </c>
      <c r="B268" t="s">
        <v>350</v>
      </c>
      <c r="D268" t="s">
        <v>7</v>
      </c>
      <c r="E268" t="s">
        <v>326</v>
      </c>
      <c r="I268" t="str">
        <f t="shared" si="4"/>
        <v>Rough,!-Roughness</v>
      </c>
    </row>
    <row r="269" spans="1:9" x14ac:dyDescent="0.3">
      <c r="A269" t="s">
        <v>351</v>
      </c>
      <c r="B269">
        <v>1</v>
      </c>
      <c r="C269" t="s">
        <v>12</v>
      </c>
      <c r="D269" t="s">
        <v>7</v>
      </c>
      <c r="E269" t="s">
        <v>327</v>
      </c>
      <c r="I269" t="str">
        <f t="shared" si="4"/>
        <v>0.01,!-Thickness {m}</v>
      </c>
    </row>
    <row r="270" spans="1:9" x14ac:dyDescent="0.3">
      <c r="A270" t="s">
        <v>387</v>
      </c>
      <c r="B270">
        <v>5</v>
      </c>
      <c r="C270" t="s">
        <v>12</v>
      </c>
      <c r="D270" t="s">
        <v>7</v>
      </c>
      <c r="E270" t="s">
        <v>328</v>
      </c>
      <c r="I270" t="str">
        <f t="shared" si="4"/>
        <v>0.15,!-Conductivity {W/m-K}</v>
      </c>
    </row>
    <row r="271" spans="1:9" x14ac:dyDescent="0.3">
      <c r="A271">
        <v>600</v>
      </c>
      <c r="B271" t="s">
        <v>12</v>
      </c>
      <c r="D271" t="s">
        <v>7</v>
      </c>
      <c r="E271" t="s">
        <v>329</v>
      </c>
      <c r="I271" t="str">
        <f t="shared" si="4"/>
        <v>600,!-Density {kg/m3}</v>
      </c>
    </row>
    <row r="272" spans="1:9" x14ac:dyDescent="0.3">
      <c r="A272">
        <v>134</v>
      </c>
      <c r="B272">
        <v>0</v>
      </c>
      <c r="C272" t="s">
        <v>12</v>
      </c>
      <c r="D272" t="s">
        <v>7</v>
      </c>
      <c r="E272" t="s">
        <v>353</v>
      </c>
      <c r="I272" t="str">
        <f t="shared" si="4"/>
        <v>1340,!-Specific Heat {J/kg-K}</v>
      </c>
    </row>
    <row r="273" spans="1:9" x14ac:dyDescent="0.3">
      <c r="A273" t="s">
        <v>352</v>
      </c>
      <c r="B273" t="s">
        <v>12</v>
      </c>
      <c r="D273" t="s">
        <v>7</v>
      </c>
      <c r="E273" t="s">
        <v>330</v>
      </c>
      <c r="I273" t="str">
        <f t="shared" si="4"/>
        <v>0.9,!-Thermal Absorptance</v>
      </c>
    </row>
    <row r="274" spans="1:9" x14ac:dyDescent="0.3">
      <c r="A274" t="s">
        <v>354</v>
      </c>
      <c r="B274" t="s">
        <v>12</v>
      </c>
      <c r="D274" t="s">
        <v>7</v>
      </c>
      <c r="E274" t="s">
        <v>331</v>
      </c>
      <c r="I274" t="str">
        <f t="shared" si="4"/>
        <v>0.7,!-Solar Absorptance</v>
      </c>
    </row>
    <row r="275" spans="1:9" x14ac:dyDescent="0.3">
      <c r="A275" t="s">
        <v>354</v>
      </c>
      <c r="B275" t="s">
        <v>18</v>
      </c>
      <c r="D275" t="s">
        <v>7</v>
      </c>
      <c r="E275" t="s">
        <v>332</v>
      </c>
      <c r="I275" t="str">
        <f t="shared" si="4"/>
        <v>0.7;!-Visible Absorptance</v>
      </c>
    </row>
    <row r="276" spans="1:9" x14ac:dyDescent="0.3">
      <c r="I276" t="str">
        <f t="shared" si="4"/>
        <v/>
      </c>
    </row>
    <row r="277" spans="1:9" x14ac:dyDescent="0.3">
      <c r="A277" t="s">
        <v>343</v>
      </c>
      <c r="B277" t="s">
        <v>344</v>
      </c>
      <c r="I277" t="str">
        <f t="shared" si="4"/>
        <v>Material,</v>
      </c>
    </row>
    <row r="278" spans="1:9" x14ac:dyDescent="0.3">
      <c r="A278" t="s">
        <v>338</v>
      </c>
      <c r="B278" t="s">
        <v>397</v>
      </c>
      <c r="D278" t="s">
        <v>384</v>
      </c>
      <c r="E278" t="s">
        <v>325</v>
      </c>
      <c r="I278" t="str">
        <f t="shared" si="4"/>
        <v>gesso forro laje nervurada,!- Name</v>
      </c>
    </row>
    <row r="279" spans="1:9" x14ac:dyDescent="0.3">
      <c r="A279" t="s">
        <v>349</v>
      </c>
      <c r="B279" t="s">
        <v>350</v>
      </c>
      <c r="D279" t="s">
        <v>7</v>
      </c>
      <c r="E279" t="s">
        <v>326</v>
      </c>
      <c r="I279" t="str">
        <f t="shared" si="4"/>
        <v>Rough,!-Roughness</v>
      </c>
    </row>
    <row r="280" spans="1:9" x14ac:dyDescent="0.3">
      <c r="A280" t="s">
        <v>351</v>
      </c>
      <c r="B280">
        <v>1</v>
      </c>
      <c r="C280" t="s">
        <v>12</v>
      </c>
      <c r="D280" t="s">
        <v>7</v>
      </c>
      <c r="E280" t="s">
        <v>327</v>
      </c>
      <c r="I280" t="str">
        <f t="shared" si="4"/>
        <v>0.01,!-Thickness {m}</v>
      </c>
    </row>
    <row r="281" spans="1:9" x14ac:dyDescent="0.3">
      <c r="A281" t="s">
        <v>359</v>
      </c>
      <c r="B281">
        <v>5</v>
      </c>
      <c r="C281" t="s">
        <v>12</v>
      </c>
      <c r="D281" t="s">
        <v>7</v>
      </c>
      <c r="E281" t="s">
        <v>328</v>
      </c>
      <c r="I281" t="str">
        <f t="shared" si="4"/>
        <v>0.35,!-Conductivity {W/m-K}</v>
      </c>
    </row>
    <row r="282" spans="1:9" x14ac:dyDescent="0.3">
      <c r="A282">
        <v>900</v>
      </c>
      <c r="B282" t="s">
        <v>12</v>
      </c>
      <c r="D282" t="s">
        <v>7</v>
      </c>
      <c r="E282" t="s">
        <v>329</v>
      </c>
      <c r="I282" t="str">
        <f t="shared" si="4"/>
        <v>900,!-Density {kg/m3}</v>
      </c>
    </row>
    <row r="283" spans="1:9" x14ac:dyDescent="0.3">
      <c r="A283">
        <v>870</v>
      </c>
      <c r="B283" t="s">
        <v>12</v>
      </c>
      <c r="D283" t="s">
        <v>7</v>
      </c>
      <c r="E283" t="s">
        <v>353</v>
      </c>
      <c r="I283" t="str">
        <f t="shared" si="4"/>
        <v>870,!-Specific Heat {J/kg-K}</v>
      </c>
    </row>
    <row r="284" spans="1:9" x14ac:dyDescent="0.3">
      <c r="A284" t="s">
        <v>352</v>
      </c>
      <c r="B284" t="s">
        <v>12</v>
      </c>
      <c r="D284" t="s">
        <v>7</v>
      </c>
      <c r="E284" t="s">
        <v>330</v>
      </c>
      <c r="I284" t="str">
        <f t="shared" si="4"/>
        <v>0.9,!-Thermal Absorptance</v>
      </c>
    </row>
    <row r="285" spans="1:9" x14ac:dyDescent="0.3">
      <c r="A285" t="s">
        <v>354</v>
      </c>
      <c r="B285" t="s">
        <v>12</v>
      </c>
      <c r="D285" t="s">
        <v>7</v>
      </c>
      <c r="E285" t="s">
        <v>331</v>
      </c>
      <c r="I285" t="str">
        <f t="shared" si="4"/>
        <v>0.7,!-Solar Absorptance</v>
      </c>
    </row>
    <row r="286" spans="1:9" x14ac:dyDescent="0.3">
      <c r="A286" t="s">
        <v>354</v>
      </c>
      <c r="B286" t="s">
        <v>18</v>
      </c>
      <c r="D286" t="s">
        <v>7</v>
      </c>
      <c r="E286" t="s">
        <v>332</v>
      </c>
      <c r="I286" t="str">
        <f t="shared" si="4"/>
        <v>0.7;!-Visible Absorptance</v>
      </c>
    </row>
    <row r="287" spans="1:9" x14ac:dyDescent="0.3">
      <c r="I287" t="str">
        <f t="shared" si="4"/>
        <v/>
      </c>
    </row>
    <row r="288" spans="1:9" x14ac:dyDescent="0.3">
      <c r="A288" t="s">
        <v>343</v>
      </c>
      <c r="B288" t="s">
        <v>344</v>
      </c>
      <c r="I288" t="str">
        <f t="shared" si="4"/>
        <v>Material,</v>
      </c>
    </row>
    <row r="289" spans="1:9" x14ac:dyDescent="0.3">
      <c r="A289" t="s">
        <v>367</v>
      </c>
      <c r="B289" t="s">
        <v>398</v>
      </c>
      <c r="D289" t="s">
        <v>12</v>
      </c>
      <c r="E289" t="s">
        <v>325</v>
      </c>
      <c r="I289" t="str">
        <f t="shared" si="4"/>
        <v>Concreto laje pre moldada,!- Name</v>
      </c>
    </row>
    <row r="290" spans="1:9" x14ac:dyDescent="0.3">
      <c r="A290" t="s">
        <v>349</v>
      </c>
      <c r="B290" t="s">
        <v>350</v>
      </c>
      <c r="D290" t="s">
        <v>7</v>
      </c>
      <c r="E290" t="s">
        <v>326</v>
      </c>
      <c r="I290" t="str">
        <f t="shared" si="4"/>
        <v>Rough,!-Roughness</v>
      </c>
    </row>
    <row r="291" spans="1:9" x14ac:dyDescent="0.3">
      <c r="A291" t="s">
        <v>351</v>
      </c>
      <c r="B291">
        <v>4</v>
      </c>
      <c r="C291" t="s">
        <v>12</v>
      </c>
      <c r="D291" t="s">
        <v>7</v>
      </c>
      <c r="E291" t="s">
        <v>327</v>
      </c>
      <c r="I291" t="str">
        <f t="shared" si="4"/>
        <v>0.04,!-Thickness {m}</v>
      </c>
    </row>
    <row r="292" spans="1:9" x14ac:dyDescent="0.3">
      <c r="A292" t="s">
        <v>369</v>
      </c>
      <c r="B292">
        <v>5</v>
      </c>
      <c r="C292" t="s">
        <v>12</v>
      </c>
      <c r="D292" t="s">
        <v>7</v>
      </c>
      <c r="E292" t="s">
        <v>328</v>
      </c>
      <c r="I292" t="str">
        <f t="shared" si="4"/>
        <v>1.75,!-Conductivity {W/m-K}</v>
      </c>
    </row>
    <row r="293" spans="1:9" x14ac:dyDescent="0.3">
      <c r="A293">
        <v>220</v>
      </c>
      <c r="B293">
        <v>0</v>
      </c>
      <c r="C293" t="s">
        <v>12</v>
      </c>
      <c r="D293" t="s">
        <v>7</v>
      </c>
      <c r="E293" t="s">
        <v>329</v>
      </c>
      <c r="I293" t="str">
        <f t="shared" si="4"/>
        <v>2200,!-Density {kg/m3}</v>
      </c>
    </row>
    <row r="294" spans="1:9" x14ac:dyDescent="0.3">
      <c r="A294">
        <v>100</v>
      </c>
      <c r="B294">
        <v>0</v>
      </c>
      <c r="C294" t="s">
        <v>12</v>
      </c>
      <c r="D294" t="s">
        <v>7</v>
      </c>
      <c r="E294" t="s">
        <v>353</v>
      </c>
      <c r="I294" t="str">
        <f t="shared" si="4"/>
        <v>1000,!-Specific Heat {J/kg-K}</v>
      </c>
    </row>
    <row r="295" spans="1:9" x14ac:dyDescent="0.3">
      <c r="A295" t="s">
        <v>352</v>
      </c>
      <c r="B295" t="s">
        <v>12</v>
      </c>
      <c r="D295" t="s">
        <v>7</v>
      </c>
      <c r="E295" t="s">
        <v>330</v>
      </c>
      <c r="I295" t="str">
        <f t="shared" si="4"/>
        <v>0.9,!-Thermal Absorptance</v>
      </c>
    </row>
    <row r="296" spans="1:9" x14ac:dyDescent="0.3">
      <c r="A296" t="s">
        <v>354</v>
      </c>
      <c r="B296" t="s">
        <v>12</v>
      </c>
      <c r="D296" t="s">
        <v>7</v>
      </c>
      <c r="E296" t="s">
        <v>331</v>
      </c>
      <c r="I296" t="str">
        <f t="shared" si="4"/>
        <v>0.7,!-Solar Absorptance</v>
      </c>
    </row>
    <row r="297" spans="1:9" x14ac:dyDescent="0.3">
      <c r="A297" t="s">
        <v>354</v>
      </c>
      <c r="B297" t="s">
        <v>18</v>
      </c>
      <c r="D297" t="s">
        <v>7</v>
      </c>
      <c r="E297" t="s">
        <v>332</v>
      </c>
      <c r="I297" t="str">
        <f t="shared" si="4"/>
        <v>0.7;!-Visible Absorptance</v>
      </c>
    </row>
    <row r="298" spans="1:9" x14ac:dyDescent="0.3">
      <c r="I298" t="str">
        <f t="shared" si="4"/>
        <v/>
      </c>
    </row>
    <row r="299" spans="1:9" x14ac:dyDescent="0.3">
      <c r="A299" t="s">
        <v>343</v>
      </c>
      <c r="B299" t="s">
        <v>344</v>
      </c>
      <c r="I299" t="str">
        <f t="shared" si="4"/>
        <v>Material,</v>
      </c>
    </row>
    <row r="300" spans="1:9" x14ac:dyDescent="0.3">
      <c r="A300" t="s">
        <v>367</v>
      </c>
      <c r="B300" t="s">
        <v>381</v>
      </c>
      <c r="D300" t="s">
        <v>382</v>
      </c>
      <c r="E300" t="s">
        <v>399</v>
      </c>
      <c r="I300" t="str">
        <f t="shared" si="4"/>
        <v>Concreto laje nervurada c/câmara de ar,  !- Name</v>
      </c>
    </row>
    <row r="301" spans="1:9" x14ac:dyDescent="0.3">
      <c r="A301" t="s">
        <v>349</v>
      </c>
      <c r="B301" t="s">
        <v>350</v>
      </c>
      <c r="D301" t="s">
        <v>7</v>
      </c>
      <c r="E301" t="s">
        <v>326</v>
      </c>
      <c r="I301" t="str">
        <f t="shared" si="4"/>
        <v>Rough,!-Roughness</v>
      </c>
    </row>
    <row r="302" spans="1:9" x14ac:dyDescent="0.3">
      <c r="A302" t="s">
        <v>351</v>
      </c>
      <c r="B302">
        <v>985</v>
      </c>
      <c r="C302" t="s">
        <v>12</v>
      </c>
      <c r="D302" t="s">
        <v>7</v>
      </c>
      <c r="E302" t="s">
        <v>327</v>
      </c>
      <c r="I302" t="str">
        <f t="shared" si="4"/>
        <v>0.0985,!-Thickness {m}</v>
      </c>
    </row>
    <row r="303" spans="1:9" x14ac:dyDescent="0.3">
      <c r="A303" t="s">
        <v>369</v>
      </c>
      <c r="B303">
        <v>5</v>
      </c>
      <c r="C303" t="s">
        <v>12</v>
      </c>
      <c r="D303" t="s">
        <v>7</v>
      </c>
      <c r="E303" t="s">
        <v>328</v>
      </c>
      <c r="I303" t="str">
        <f t="shared" si="4"/>
        <v>1.75,!-Conductivity {W/m-K}</v>
      </c>
    </row>
    <row r="304" spans="1:9" x14ac:dyDescent="0.3">
      <c r="A304">
        <v>220</v>
      </c>
      <c r="B304">
        <v>0</v>
      </c>
      <c r="C304" t="s">
        <v>12</v>
      </c>
      <c r="D304" t="s">
        <v>7</v>
      </c>
      <c r="E304" t="s">
        <v>329</v>
      </c>
      <c r="I304" t="str">
        <f t="shared" si="4"/>
        <v>2200,!-Density {kg/m3}</v>
      </c>
    </row>
    <row r="305" spans="1:9" x14ac:dyDescent="0.3">
      <c r="A305">
        <v>100</v>
      </c>
      <c r="B305">
        <v>0</v>
      </c>
      <c r="C305" t="s">
        <v>12</v>
      </c>
      <c r="D305" t="s">
        <v>7</v>
      </c>
      <c r="E305" t="s">
        <v>353</v>
      </c>
      <c r="I305" t="str">
        <f t="shared" si="4"/>
        <v>1000,!-Specific Heat {J/kg-K}</v>
      </c>
    </row>
    <row r="306" spans="1:9" x14ac:dyDescent="0.3">
      <c r="A306" t="s">
        <v>352</v>
      </c>
      <c r="B306" t="s">
        <v>12</v>
      </c>
      <c r="D306" t="s">
        <v>7</v>
      </c>
      <c r="E306" t="s">
        <v>330</v>
      </c>
      <c r="I306" t="str">
        <f t="shared" si="4"/>
        <v>0.9,!-Thermal Absorptance</v>
      </c>
    </row>
    <row r="307" spans="1:9" x14ac:dyDescent="0.3">
      <c r="A307" t="s">
        <v>354</v>
      </c>
      <c r="B307" t="s">
        <v>12</v>
      </c>
      <c r="D307" t="s">
        <v>7</v>
      </c>
      <c r="E307" t="s">
        <v>331</v>
      </c>
      <c r="I307" t="str">
        <f t="shared" si="4"/>
        <v>0.7,!-Solar Absorptance</v>
      </c>
    </row>
    <row r="308" spans="1:9" x14ac:dyDescent="0.3">
      <c r="A308" t="s">
        <v>354</v>
      </c>
      <c r="B308" t="s">
        <v>18</v>
      </c>
      <c r="D308" t="s">
        <v>7</v>
      </c>
      <c r="E308" t="s">
        <v>332</v>
      </c>
      <c r="I308" t="str">
        <f t="shared" si="4"/>
        <v>0.7;!-Visible Absorptance</v>
      </c>
    </row>
    <row r="309" spans="1:9" x14ac:dyDescent="0.3">
      <c r="I309" t="str">
        <f t="shared" si="4"/>
        <v/>
      </c>
    </row>
    <row r="310" spans="1:9" x14ac:dyDescent="0.3">
      <c r="A310" t="s">
        <v>343</v>
      </c>
      <c r="B310" t="s">
        <v>344</v>
      </c>
      <c r="I310" t="str">
        <f t="shared" si="4"/>
        <v>Material,</v>
      </c>
    </row>
    <row r="311" spans="1:9" x14ac:dyDescent="0.3">
      <c r="A311" t="s">
        <v>337</v>
      </c>
      <c r="B311" t="s">
        <v>400</v>
      </c>
      <c r="D311" t="s">
        <v>7</v>
      </c>
      <c r="E311" t="s">
        <v>8</v>
      </c>
      <c r="I311" t="str">
        <f t="shared" si="4"/>
        <v>argamassa externa,!-Name</v>
      </c>
    </row>
    <row r="312" spans="1:9" x14ac:dyDescent="0.3">
      <c r="A312" t="s">
        <v>349</v>
      </c>
      <c r="B312" t="s">
        <v>350</v>
      </c>
      <c r="D312" t="s">
        <v>7</v>
      </c>
      <c r="E312" t="s">
        <v>326</v>
      </c>
      <c r="I312" t="str">
        <f t="shared" si="4"/>
        <v>Rough,!-Roughness</v>
      </c>
    </row>
    <row r="313" spans="1:9" x14ac:dyDescent="0.3">
      <c r="A313" t="s">
        <v>351</v>
      </c>
      <c r="B313">
        <v>25</v>
      </c>
      <c r="C313" t="s">
        <v>12</v>
      </c>
      <c r="D313" t="s">
        <v>7</v>
      </c>
      <c r="E313" t="s">
        <v>327</v>
      </c>
      <c r="I313" t="str">
        <f t="shared" si="4"/>
        <v>0.025,!-Thickness {m}</v>
      </c>
    </row>
    <row r="314" spans="1:9" x14ac:dyDescent="0.3">
      <c r="A314" t="s">
        <v>357</v>
      </c>
      <c r="B314">
        <v>5</v>
      </c>
      <c r="C314" t="s">
        <v>12</v>
      </c>
      <c r="D314" t="s">
        <v>7</v>
      </c>
      <c r="E314" t="s">
        <v>328</v>
      </c>
      <c r="I314" t="str">
        <f t="shared" si="4"/>
        <v>1.15,!-Conductivity {W/m-K}</v>
      </c>
    </row>
    <row r="315" spans="1:9" x14ac:dyDescent="0.3">
      <c r="A315">
        <v>200</v>
      </c>
      <c r="B315">
        <v>0</v>
      </c>
      <c r="C315" t="s">
        <v>12</v>
      </c>
      <c r="D315" t="s">
        <v>7</v>
      </c>
      <c r="E315" t="s">
        <v>329</v>
      </c>
      <c r="I315" t="str">
        <f t="shared" si="4"/>
        <v>2000,!-Density {kg/m3}</v>
      </c>
    </row>
    <row r="316" spans="1:9" x14ac:dyDescent="0.3">
      <c r="A316">
        <v>100</v>
      </c>
      <c r="B316">
        <v>0</v>
      </c>
      <c r="C316" t="s">
        <v>12</v>
      </c>
      <c r="D316" t="s">
        <v>7</v>
      </c>
      <c r="E316" t="s">
        <v>353</v>
      </c>
      <c r="I316" t="str">
        <f t="shared" si="4"/>
        <v>1000,!-Specific Heat {J/kg-K}</v>
      </c>
    </row>
    <row r="317" spans="1:9" x14ac:dyDescent="0.3">
      <c r="A317" t="s">
        <v>352</v>
      </c>
      <c r="B317" t="s">
        <v>12</v>
      </c>
      <c r="D317" t="s">
        <v>7</v>
      </c>
      <c r="E317" t="s">
        <v>330</v>
      </c>
      <c r="I317" t="str">
        <f t="shared" si="4"/>
        <v>0.9,!-Thermal Absorptance</v>
      </c>
    </row>
    <row r="318" spans="1:9" x14ac:dyDescent="0.3">
      <c r="A318" t="s">
        <v>354</v>
      </c>
      <c r="B318" t="s">
        <v>12</v>
      </c>
      <c r="D318" t="s">
        <v>7</v>
      </c>
      <c r="E318" t="s">
        <v>331</v>
      </c>
      <c r="I318" t="str">
        <f t="shared" si="4"/>
        <v>0.7,!-Solar Absorptance</v>
      </c>
    </row>
    <row r="319" spans="1:9" x14ac:dyDescent="0.3">
      <c r="A319" t="s">
        <v>354</v>
      </c>
      <c r="B319" t="s">
        <v>18</v>
      </c>
      <c r="D319" t="s">
        <v>7</v>
      </c>
      <c r="E319" t="s">
        <v>332</v>
      </c>
      <c r="I319" t="str">
        <f t="shared" si="4"/>
        <v>0.7;!-Visible Absorptance</v>
      </c>
    </row>
    <row r="320" spans="1:9" x14ac:dyDescent="0.3">
      <c r="I320" t="str">
        <f t="shared" si="4"/>
        <v/>
      </c>
    </row>
    <row r="321" spans="1:9" x14ac:dyDescent="0.3">
      <c r="A321" t="s">
        <v>343</v>
      </c>
      <c r="B321" t="s">
        <v>344</v>
      </c>
      <c r="I321" t="str">
        <f t="shared" si="4"/>
        <v>Material,</v>
      </c>
    </row>
    <row r="322" spans="1:9" x14ac:dyDescent="0.3">
      <c r="A322" t="s">
        <v>345</v>
      </c>
      <c r="B322" t="s">
        <v>401</v>
      </c>
      <c r="D322" t="s">
        <v>7</v>
      </c>
      <c r="E322" t="s">
        <v>8</v>
      </c>
      <c r="I322" t="str">
        <f t="shared" ref="I322:I364" si="5">CONCATENATE(A322,B322,C322,D322,E322,F322,G322)</f>
        <v>Cerâmica tijolo 14x9x24,!-Name</v>
      </c>
    </row>
    <row r="323" spans="1:9" x14ac:dyDescent="0.3">
      <c r="A323" t="s">
        <v>349</v>
      </c>
      <c r="B323" t="s">
        <v>350</v>
      </c>
      <c r="D323" t="s">
        <v>7</v>
      </c>
      <c r="E323" t="s">
        <v>326</v>
      </c>
      <c r="I323" t="str">
        <f t="shared" si="5"/>
        <v>Rough,!-Roughness</v>
      </c>
    </row>
    <row r="324" spans="1:9" x14ac:dyDescent="0.3">
      <c r="A324" t="s">
        <v>351</v>
      </c>
      <c r="B324">
        <v>19</v>
      </c>
      <c r="C324" t="s">
        <v>12</v>
      </c>
      <c r="D324" t="s">
        <v>7</v>
      </c>
      <c r="E324" t="s">
        <v>327</v>
      </c>
      <c r="I324" t="str">
        <f t="shared" si="5"/>
        <v>0.019,!-Thickness {m}</v>
      </c>
    </row>
    <row r="325" spans="1:9" x14ac:dyDescent="0.3">
      <c r="A325" t="s">
        <v>352</v>
      </c>
      <c r="B325" t="s">
        <v>12</v>
      </c>
      <c r="D325" t="s">
        <v>7</v>
      </c>
      <c r="E325" t="s">
        <v>328</v>
      </c>
      <c r="I325" t="str">
        <f t="shared" si="5"/>
        <v>0.9,!-Conductivity {W/m-K}</v>
      </c>
    </row>
    <row r="326" spans="1:9" x14ac:dyDescent="0.3">
      <c r="A326">
        <v>160</v>
      </c>
      <c r="B326">
        <v>0</v>
      </c>
      <c r="C326" t="s">
        <v>12</v>
      </c>
      <c r="D326" t="s">
        <v>7</v>
      </c>
      <c r="E326" t="s">
        <v>329</v>
      </c>
      <c r="I326" t="str">
        <f t="shared" si="5"/>
        <v>1600,!-Density {kg/m3}</v>
      </c>
    </row>
    <row r="327" spans="1:9" x14ac:dyDescent="0.3">
      <c r="A327">
        <v>920</v>
      </c>
      <c r="B327" t="s">
        <v>12</v>
      </c>
      <c r="D327" t="s">
        <v>7</v>
      </c>
      <c r="E327" t="s">
        <v>353</v>
      </c>
      <c r="I327" t="str">
        <f t="shared" si="5"/>
        <v>920,!-Specific Heat {J/kg-K}</v>
      </c>
    </row>
    <row r="328" spans="1:9" x14ac:dyDescent="0.3">
      <c r="A328" t="s">
        <v>352</v>
      </c>
      <c r="B328" t="s">
        <v>12</v>
      </c>
      <c r="D328" t="s">
        <v>7</v>
      </c>
      <c r="E328" t="s">
        <v>330</v>
      </c>
      <c r="I328" t="str">
        <f t="shared" si="5"/>
        <v>0.9,!-Thermal Absorptance</v>
      </c>
    </row>
    <row r="329" spans="1:9" x14ac:dyDescent="0.3">
      <c r="A329" t="s">
        <v>354</v>
      </c>
      <c r="B329" t="s">
        <v>12</v>
      </c>
      <c r="D329" t="s">
        <v>7</v>
      </c>
      <c r="E329" t="s">
        <v>331</v>
      </c>
      <c r="I329" t="str">
        <f t="shared" si="5"/>
        <v>0.7,!-Solar Absorptance</v>
      </c>
    </row>
    <row r="330" spans="1:9" x14ac:dyDescent="0.3">
      <c r="A330" t="s">
        <v>354</v>
      </c>
      <c r="B330" t="s">
        <v>18</v>
      </c>
      <c r="D330" t="s">
        <v>7</v>
      </c>
      <c r="E330" t="s">
        <v>332</v>
      </c>
      <c r="I330" t="str">
        <f t="shared" si="5"/>
        <v>0.7;!-Visible Absorptance</v>
      </c>
    </row>
    <row r="331" spans="1:9" x14ac:dyDescent="0.3">
      <c r="I331" t="str">
        <f t="shared" si="5"/>
        <v/>
      </c>
    </row>
    <row r="332" spans="1:9" x14ac:dyDescent="0.3">
      <c r="A332" t="s">
        <v>343</v>
      </c>
      <c r="B332" t="s">
        <v>344</v>
      </c>
      <c r="I332" t="str">
        <f t="shared" si="5"/>
        <v>Material,</v>
      </c>
    </row>
    <row r="333" spans="1:9" x14ac:dyDescent="0.3">
      <c r="A333" t="s">
        <v>378</v>
      </c>
      <c r="B333" t="s">
        <v>402</v>
      </c>
      <c r="D333" t="s">
        <v>7</v>
      </c>
      <c r="E333" t="s">
        <v>8</v>
      </c>
      <c r="I333" t="str">
        <f t="shared" si="5"/>
        <v>contrapiso laje 5 cm,!-Name</v>
      </c>
    </row>
    <row r="334" spans="1:9" x14ac:dyDescent="0.3">
      <c r="A334" t="s">
        <v>349</v>
      </c>
      <c r="B334" t="s">
        <v>350</v>
      </c>
      <c r="D334" t="s">
        <v>7</v>
      </c>
      <c r="E334" t="s">
        <v>326</v>
      </c>
      <c r="I334" t="str">
        <f t="shared" si="5"/>
        <v>Rough,!-Roughness</v>
      </c>
    </row>
    <row r="335" spans="1:9" x14ac:dyDescent="0.3">
      <c r="A335" t="s">
        <v>351</v>
      </c>
      <c r="B335">
        <v>2</v>
      </c>
      <c r="C335" t="s">
        <v>12</v>
      </c>
      <c r="D335" t="s">
        <v>7</v>
      </c>
      <c r="E335" t="s">
        <v>327</v>
      </c>
      <c r="I335" t="str">
        <f t="shared" si="5"/>
        <v>0.02,!-Thickness {m}</v>
      </c>
    </row>
    <row r="336" spans="1:9" x14ac:dyDescent="0.3">
      <c r="A336" t="s">
        <v>357</v>
      </c>
      <c r="B336">
        <v>5</v>
      </c>
      <c r="C336" t="s">
        <v>12</v>
      </c>
      <c r="D336" t="s">
        <v>7</v>
      </c>
      <c r="E336" t="s">
        <v>328</v>
      </c>
      <c r="I336" t="str">
        <f t="shared" si="5"/>
        <v>1.15,!-Conductivity {W/m-K}</v>
      </c>
    </row>
    <row r="337" spans="1:9" x14ac:dyDescent="0.3">
      <c r="A337">
        <v>200</v>
      </c>
      <c r="B337">
        <v>0</v>
      </c>
      <c r="C337" t="s">
        <v>12</v>
      </c>
      <c r="D337" t="s">
        <v>7</v>
      </c>
      <c r="E337" t="s">
        <v>329</v>
      </c>
      <c r="I337" t="str">
        <f t="shared" si="5"/>
        <v>2000,!-Density {kg/m3}</v>
      </c>
    </row>
    <row r="338" spans="1:9" x14ac:dyDescent="0.3">
      <c r="A338">
        <v>100</v>
      </c>
      <c r="B338">
        <v>0</v>
      </c>
      <c r="C338" t="s">
        <v>12</v>
      </c>
      <c r="D338" t="s">
        <v>7</v>
      </c>
      <c r="E338" t="s">
        <v>353</v>
      </c>
      <c r="I338" t="str">
        <f t="shared" si="5"/>
        <v>1000,!-Specific Heat {J/kg-K}</v>
      </c>
    </row>
    <row r="339" spans="1:9" x14ac:dyDescent="0.3">
      <c r="A339" t="s">
        <v>352</v>
      </c>
      <c r="B339" t="s">
        <v>12</v>
      </c>
      <c r="D339" t="s">
        <v>7</v>
      </c>
      <c r="E339" t="s">
        <v>330</v>
      </c>
      <c r="I339" t="str">
        <f t="shared" si="5"/>
        <v>0.9,!-Thermal Absorptance</v>
      </c>
    </row>
    <row r="340" spans="1:9" x14ac:dyDescent="0.3">
      <c r="A340" t="s">
        <v>354</v>
      </c>
      <c r="B340" t="s">
        <v>12</v>
      </c>
      <c r="D340" t="s">
        <v>7</v>
      </c>
      <c r="E340" t="s">
        <v>331</v>
      </c>
      <c r="I340" t="str">
        <f t="shared" si="5"/>
        <v>0.7,!-Solar Absorptance</v>
      </c>
    </row>
    <row r="341" spans="1:9" x14ac:dyDescent="0.3">
      <c r="A341" t="s">
        <v>354</v>
      </c>
      <c r="B341" t="s">
        <v>18</v>
      </c>
      <c r="D341" t="s">
        <v>7</v>
      </c>
      <c r="E341" t="s">
        <v>332</v>
      </c>
      <c r="I341" t="str">
        <f t="shared" si="5"/>
        <v>0.7;!-Visible Absorptance</v>
      </c>
    </row>
    <row r="342" spans="1:9" x14ac:dyDescent="0.3">
      <c r="I342" t="str">
        <f t="shared" si="5"/>
        <v/>
      </c>
    </row>
    <row r="343" spans="1:9" x14ac:dyDescent="0.3">
      <c r="A343" t="s">
        <v>343</v>
      </c>
      <c r="B343" t="s">
        <v>344</v>
      </c>
      <c r="I343" t="str">
        <f t="shared" si="5"/>
        <v>Material,</v>
      </c>
    </row>
    <row r="344" spans="1:9" x14ac:dyDescent="0.3">
      <c r="A344" t="s">
        <v>395</v>
      </c>
      <c r="B344" t="s">
        <v>403</v>
      </c>
      <c r="D344" t="s">
        <v>7</v>
      </c>
      <c r="E344" t="s">
        <v>8</v>
      </c>
      <c r="I344" t="str">
        <f t="shared" si="5"/>
        <v>Madeira,!-Name</v>
      </c>
    </row>
    <row r="345" spans="1:9" x14ac:dyDescent="0.3">
      <c r="A345" t="s">
        <v>404</v>
      </c>
      <c r="B345" t="s">
        <v>405</v>
      </c>
      <c r="D345" t="s">
        <v>7</v>
      </c>
      <c r="E345" t="s">
        <v>326</v>
      </c>
      <c r="I345" t="str">
        <f t="shared" si="5"/>
        <v>MediumRough,!-Roughness</v>
      </c>
    </row>
    <row r="346" spans="1:9" x14ac:dyDescent="0.3">
      <c r="A346" t="s">
        <v>351</v>
      </c>
      <c r="B346">
        <v>35</v>
      </c>
      <c r="C346" t="s">
        <v>12</v>
      </c>
      <c r="D346" t="s">
        <v>7</v>
      </c>
      <c r="E346" t="s">
        <v>327</v>
      </c>
      <c r="I346" t="str">
        <f t="shared" si="5"/>
        <v>0.035,!-Thickness {m}</v>
      </c>
    </row>
    <row r="347" spans="1:9" x14ac:dyDescent="0.3">
      <c r="A347" t="s">
        <v>387</v>
      </c>
      <c r="B347">
        <v>5</v>
      </c>
      <c r="C347" t="s">
        <v>12</v>
      </c>
      <c r="D347" t="s">
        <v>7</v>
      </c>
      <c r="E347" t="s">
        <v>328</v>
      </c>
      <c r="I347" t="str">
        <f t="shared" si="5"/>
        <v>0.15,!-Conductivity {W/m-K}</v>
      </c>
    </row>
    <row r="348" spans="1:9" x14ac:dyDescent="0.3">
      <c r="A348">
        <v>600</v>
      </c>
      <c r="B348" t="s">
        <v>12</v>
      </c>
      <c r="D348" t="s">
        <v>7</v>
      </c>
      <c r="E348" t="s">
        <v>329</v>
      </c>
      <c r="I348" t="str">
        <f t="shared" si="5"/>
        <v>600,!-Density {kg/m3}</v>
      </c>
    </row>
    <row r="349" spans="1:9" x14ac:dyDescent="0.3">
      <c r="A349">
        <v>134</v>
      </c>
      <c r="B349">
        <v>0</v>
      </c>
      <c r="C349" t="s">
        <v>12</v>
      </c>
      <c r="D349" t="s">
        <v>7</v>
      </c>
      <c r="E349" t="s">
        <v>353</v>
      </c>
      <c r="I349" t="str">
        <f t="shared" si="5"/>
        <v>1340,!-Specific Heat {J/kg-K}</v>
      </c>
    </row>
    <row r="350" spans="1:9" x14ac:dyDescent="0.3">
      <c r="A350" t="s">
        <v>354</v>
      </c>
      <c r="B350" t="s">
        <v>12</v>
      </c>
      <c r="D350" t="s">
        <v>7</v>
      </c>
      <c r="E350" t="s">
        <v>330</v>
      </c>
      <c r="I350" t="str">
        <f t="shared" si="5"/>
        <v>0.7,!-Thermal Absorptance</v>
      </c>
    </row>
    <row r="351" spans="1:9" x14ac:dyDescent="0.3">
      <c r="A351" t="s">
        <v>354</v>
      </c>
      <c r="B351" t="s">
        <v>12</v>
      </c>
      <c r="D351" t="s">
        <v>7</v>
      </c>
      <c r="E351" t="s">
        <v>331</v>
      </c>
      <c r="I351" t="str">
        <f t="shared" si="5"/>
        <v>0.7,!-Solar Absorptance</v>
      </c>
    </row>
    <row r="352" spans="1:9" x14ac:dyDescent="0.3">
      <c r="A352" t="s">
        <v>354</v>
      </c>
      <c r="B352" t="s">
        <v>18</v>
      </c>
      <c r="D352" t="s">
        <v>7</v>
      </c>
      <c r="E352" t="s">
        <v>332</v>
      </c>
      <c r="I352" t="str">
        <f t="shared" si="5"/>
        <v>0.7;!-Visible Absorptance</v>
      </c>
    </row>
    <row r="353" spans="1:9" x14ac:dyDescent="0.3">
      <c r="I353" t="str">
        <f t="shared" si="5"/>
        <v/>
      </c>
    </row>
    <row r="354" spans="1:9" x14ac:dyDescent="0.3">
      <c r="A354" t="s">
        <v>343</v>
      </c>
      <c r="B354" t="s">
        <v>344</v>
      </c>
      <c r="I354" t="str">
        <f t="shared" si="5"/>
        <v>Material,</v>
      </c>
    </row>
    <row r="355" spans="1:9" x14ac:dyDescent="0.3">
      <c r="A355" t="s">
        <v>406</v>
      </c>
      <c r="B355" t="s">
        <v>12</v>
      </c>
      <c r="D355" t="s">
        <v>7</v>
      </c>
      <c r="E355" t="s">
        <v>8</v>
      </c>
      <c r="I355" t="str">
        <f t="shared" si="5"/>
        <v>Aco,!-Name</v>
      </c>
    </row>
    <row r="356" spans="1:9" x14ac:dyDescent="0.3">
      <c r="A356" t="s">
        <v>407</v>
      </c>
      <c r="B356" t="s">
        <v>408</v>
      </c>
      <c r="D356" t="s">
        <v>7</v>
      </c>
      <c r="E356" t="s">
        <v>326</v>
      </c>
      <c r="I356" t="str">
        <f t="shared" si="5"/>
        <v>Smooth,!-Roughness</v>
      </c>
    </row>
    <row r="357" spans="1:9" x14ac:dyDescent="0.3">
      <c r="A357" t="s">
        <v>351</v>
      </c>
      <c r="B357">
        <v>8</v>
      </c>
      <c r="C357" t="s">
        <v>12</v>
      </c>
      <c r="D357" t="s">
        <v>7</v>
      </c>
      <c r="E357" t="s">
        <v>327</v>
      </c>
      <c r="I357" t="str">
        <f t="shared" si="5"/>
        <v>0.08,!-Thickness {m}</v>
      </c>
    </row>
    <row r="358" spans="1:9" x14ac:dyDescent="0.3">
      <c r="A358">
        <v>55</v>
      </c>
      <c r="B358" t="s">
        <v>12</v>
      </c>
      <c r="D358" t="s">
        <v>7</v>
      </c>
      <c r="E358" t="s">
        <v>328</v>
      </c>
      <c r="I358" t="str">
        <f t="shared" si="5"/>
        <v>55,!-Conductivity {W/m-K}</v>
      </c>
    </row>
    <row r="359" spans="1:9" x14ac:dyDescent="0.3">
      <c r="A359">
        <v>780</v>
      </c>
      <c r="B359">
        <v>0</v>
      </c>
      <c r="C359" t="s">
        <v>12</v>
      </c>
      <c r="D359" t="s">
        <v>7</v>
      </c>
      <c r="E359" t="s">
        <v>329</v>
      </c>
      <c r="I359" t="str">
        <f t="shared" si="5"/>
        <v>7800,!-Density {kg/m3}</v>
      </c>
    </row>
    <row r="360" spans="1:9" x14ac:dyDescent="0.3">
      <c r="A360">
        <v>460</v>
      </c>
      <c r="B360" t="s">
        <v>12</v>
      </c>
      <c r="D360" t="s">
        <v>7</v>
      </c>
      <c r="E360" t="s">
        <v>353</v>
      </c>
      <c r="I360" t="str">
        <f t="shared" si="5"/>
        <v>460,!-Specific Heat {J/kg-K}</v>
      </c>
    </row>
    <row r="361" spans="1:9" x14ac:dyDescent="0.3">
      <c r="A361" t="s">
        <v>375</v>
      </c>
      <c r="B361">
        <v>5</v>
      </c>
      <c r="C361" t="s">
        <v>12</v>
      </c>
      <c r="D361" t="s">
        <v>7</v>
      </c>
      <c r="E361" t="s">
        <v>330</v>
      </c>
      <c r="I361" t="str">
        <f t="shared" si="5"/>
        <v>0.25,!-Thermal Absorptance</v>
      </c>
    </row>
    <row r="362" spans="1:9" x14ac:dyDescent="0.3">
      <c r="A362" t="s">
        <v>375</v>
      </c>
      <c r="B362">
        <v>5</v>
      </c>
      <c r="C362" t="s">
        <v>12</v>
      </c>
      <c r="D362" t="s">
        <v>7</v>
      </c>
      <c r="E362" t="s">
        <v>331</v>
      </c>
      <c r="I362" t="str">
        <f t="shared" si="5"/>
        <v>0.25,!-Solar Absorptance</v>
      </c>
    </row>
    <row r="363" spans="1:9" x14ac:dyDescent="0.3">
      <c r="A363" t="s">
        <v>375</v>
      </c>
      <c r="B363" t="s">
        <v>409</v>
      </c>
      <c r="D363" t="s">
        <v>7</v>
      </c>
      <c r="E363" t="s">
        <v>332</v>
      </c>
      <c r="I363" t="str">
        <f t="shared" si="5"/>
        <v>0.25;!-Visible Absorptance</v>
      </c>
    </row>
    <row r="364" spans="1:9" x14ac:dyDescent="0.3">
      <c r="I364" t="str">
        <f t="shared" si="5"/>
        <v/>
      </c>
    </row>
    <row r="365" spans="1:9" x14ac:dyDescent="0.3">
      <c r="A365" t="s">
        <v>339</v>
      </c>
      <c r="B365" t="s">
        <v>340</v>
      </c>
      <c r="D365" t="s">
        <v>341</v>
      </c>
      <c r="E365" t="s">
        <v>410</v>
      </c>
    </row>
    <row r="367" spans="1:9" x14ac:dyDescent="0.3">
      <c r="A367">
        <v>1</v>
      </c>
    </row>
    <row r="1048575" spans="1:1" x14ac:dyDescent="0.3">
      <c r="A1048575">
        <v>0.3</v>
      </c>
    </row>
    <row r="1048576" spans="1:1" x14ac:dyDescent="0.3">
      <c r="A1048576">
        <v>0.7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E7002-CFCC-443F-A1AF-96DC9A743C81}">
  <sheetPr codeName="Planilha4"/>
  <dimension ref="A1:H17"/>
  <sheetViews>
    <sheetView workbookViewId="0">
      <selection activeCell="A13" sqref="A13"/>
    </sheetView>
  </sheetViews>
  <sheetFormatPr defaultRowHeight="14.4" x14ac:dyDescent="0.3"/>
  <cols>
    <col min="1" max="1" width="9.6640625" customWidth="1"/>
    <col min="5" max="5" width="17.6640625" customWidth="1"/>
  </cols>
  <sheetData>
    <row r="1" spans="1:8" x14ac:dyDescent="0.3">
      <c r="A1" t="s">
        <v>22</v>
      </c>
      <c r="H1" t="s">
        <v>22</v>
      </c>
    </row>
    <row r="2" spans="1:8" x14ac:dyDescent="0.3">
      <c r="B2" t="s">
        <v>0</v>
      </c>
      <c r="H2" t="str">
        <f t="shared" ref="H2:H10" si="0">CONCATENATE(A2,B2,C2,D2)</f>
        <v>Building,</v>
      </c>
    </row>
    <row r="3" spans="1:8" x14ac:dyDescent="0.3">
      <c r="B3" t="s">
        <v>6</v>
      </c>
      <c r="C3" t="s">
        <v>7</v>
      </c>
      <c r="D3" t="s">
        <v>8</v>
      </c>
      <c r="H3" t="str">
        <f t="shared" si="0"/>
        <v>Building 1,!-Name</v>
      </c>
    </row>
    <row r="4" spans="1:8" x14ac:dyDescent="0.3">
      <c r="A4">
        <f>IF(A13=1,0,IF(A13=2,180,IF(A13=3,90,IF(A13=4,270,""))))</f>
        <v>0</v>
      </c>
      <c r="B4" t="s">
        <v>9</v>
      </c>
      <c r="C4" t="s">
        <v>10</v>
      </c>
      <c r="D4" t="s">
        <v>11</v>
      </c>
      <c r="H4" t="str">
        <f t="shared" si="0"/>
        <v>0,                     !-North Axis {deg}</v>
      </c>
    </row>
    <row r="5" spans="1:8" x14ac:dyDescent="0.3">
      <c r="B5" t="s">
        <v>12</v>
      </c>
      <c r="C5" t="s">
        <v>7</v>
      </c>
      <c r="D5" t="s">
        <v>13</v>
      </c>
      <c r="H5" t="str">
        <f t="shared" si="0"/>
        <v>,!-Terrain</v>
      </c>
    </row>
    <row r="6" spans="1:8" x14ac:dyDescent="0.3">
      <c r="B6" t="s">
        <v>12</v>
      </c>
      <c r="C6" t="s">
        <v>7</v>
      </c>
      <c r="D6" t="s">
        <v>14</v>
      </c>
      <c r="H6" t="str">
        <f t="shared" si="0"/>
        <v>,!-Loads Convergence Tolerance Value</v>
      </c>
    </row>
    <row r="7" spans="1:8" x14ac:dyDescent="0.3">
      <c r="B7" t="s">
        <v>12</v>
      </c>
      <c r="C7" t="s">
        <v>7</v>
      </c>
      <c r="D7" t="s">
        <v>15</v>
      </c>
      <c r="H7" t="str">
        <f t="shared" si="0"/>
        <v>,!-Temperature Convergence Tolerance Value {deltaC}</v>
      </c>
    </row>
    <row r="8" spans="1:8" x14ac:dyDescent="0.3">
      <c r="B8" t="s">
        <v>12</v>
      </c>
      <c r="C8" t="s">
        <v>7</v>
      </c>
      <c r="D8" t="s">
        <v>16</v>
      </c>
      <c r="H8" t="str">
        <f t="shared" si="0"/>
        <v>,!-Solar Distribution</v>
      </c>
    </row>
    <row r="9" spans="1:8" x14ac:dyDescent="0.3">
      <c r="B9" t="s">
        <v>12</v>
      </c>
      <c r="C9" t="s">
        <v>7</v>
      </c>
      <c r="D9" t="s">
        <v>17</v>
      </c>
      <c r="H9" t="str">
        <f t="shared" si="0"/>
        <v>,!-Maximum Number of Warmup Days</v>
      </c>
    </row>
    <row r="10" spans="1:8" x14ac:dyDescent="0.3">
      <c r="B10" t="s">
        <v>18</v>
      </c>
      <c r="C10" t="s">
        <v>7</v>
      </c>
      <c r="D10" t="s">
        <v>19</v>
      </c>
      <c r="H10" t="str">
        <f t="shared" si="0"/>
        <v>;!-Minimum Number of Warmup Days</v>
      </c>
    </row>
    <row r="11" spans="1:8" x14ac:dyDescent="0.3">
      <c r="A11" t="s">
        <v>23</v>
      </c>
      <c r="H11" t="s">
        <v>23</v>
      </c>
    </row>
    <row r="13" spans="1:8" x14ac:dyDescent="0.3">
      <c r="A13" s="2">
        <v>1</v>
      </c>
      <c r="B13" t="s">
        <v>415</v>
      </c>
    </row>
    <row r="14" spans="1:8" x14ac:dyDescent="0.3">
      <c r="A14" t="s">
        <v>1</v>
      </c>
    </row>
    <row r="15" spans="1:8" x14ac:dyDescent="0.3">
      <c r="A15" t="s">
        <v>2</v>
      </c>
    </row>
    <row r="16" spans="1:8" x14ac:dyDescent="0.3">
      <c r="A16" t="s">
        <v>3</v>
      </c>
    </row>
    <row r="17" spans="1:1" x14ac:dyDescent="0.3">
      <c r="A17" t="s">
        <v>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1B126-27A4-4E2B-976A-7B95324677C5}">
  <sheetPr codeName="Planilha6"/>
  <dimension ref="C1:C3460"/>
  <sheetViews>
    <sheetView workbookViewId="0">
      <selection activeCell="C1" sqref="C1:C3460"/>
    </sheetView>
  </sheetViews>
  <sheetFormatPr defaultRowHeight="14.4" x14ac:dyDescent="0.3"/>
  <sheetData>
    <row r="1" spans="3:3" x14ac:dyDescent="0.3">
      <c r="C1" t="s">
        <v>24</v>
      </c>
    </row>
    <row r="2" spans="3:3" x14ac:dyDescent="0.3">
      <c r="C2" t="s">
        <v>25</v>
      </c>
    </row>
    <row r="4" spans="3:3" x14ac:dyDescent="0.3">
      <c r="C4" t="s">
        <v>26</v>
      </c>
    </row>
    <row r="5" spans="3:3" x14ac:dyDescent="0.3">
      <c r="C5" t="s">
        <v>27</v>
      </c>
    </row>
    <row r="8" spans="3:3" x14ac:dyDescent="0.3">
      <c r="C8" t="s">
        <v>28</v>
      </c>
    </row>
    <row r="10" spans="3:3" x14ac:dyDescent="0.3">
      <c r="C10" t="s">
        <v>444</v>
      </c>
    </row>
    <row r="11" spans="3:3" x14ac:dyDescent="0.3">
      <c r="C11" t="s">
        <v>445</v>
      </c>
    </row>
    <row r="14" spans="3:3" x14ac:dyDescent="0.3">
      <c r="C14" t="s">
        <v>29</v>
      </c>
    </row>
    <row r="16" spans="3:3" x14ac:dyDescent="0.3">
      <c r="C16" t="s">
        <v>446</v>
      </c>
    </row>
    <row r="17" spans="3:3" x14ac:dyDescent="0.3">
      <c r="C17" t="s">
        <v>447</v>
      </c>
    </row>
    <row r="18" spans="3:3" x14ac:dyDescent="0.3">
      <c r="C18" t="s">
        <v>448</v>
      </c>
    </row>
    <row r="19" spans="3:3" x14ac:dyDescent="0.3">
      <c r="C19" t="s">
        <v>449</v>
      </c>
    </row>
    <row r="20" spans="3:3" x14ac:dyDescent="0.3">
      <c r="C20" t="s">
        <v>450</v>
      </c>
    </row>
    <row r="21" spans="3:3" x14ac:dyDescent="0.3">
      <c r="C21" t="s">
        <v>451</v>
      </c>
    </row>
    <row r="24" spans="3:3" x14ac:dyDescent="0.3">
      <c r="C24" t="s">
        <v>22</v>
      </c>
    </row>
    <row r="26" spans="3:3" x14ac:dyDescent="0.3">
      <c r="C26" t="str">
        <f>orientacao!H2</f>
        <v>Building,</v>
      </c>
    </row>
    <row r="27" spans="3:3" x14ac:dyDescent="0.3">
      <c r="C27" t="str">
        <f>orientacao!H3</f>
        <v>Building 1,!-Name</v>
      </c>
    </row>
    <row r="28" spans="3:3" x14ac:dyDescent="0.3">
      <c r="C28" t="str">
        <f>orientacao!H4</f>
        <v>0,                     !-North Axis {deg}</v>
      </c>
    </row>
    <row r="29" spans="3:3" x14ac:dyDescent="0.3">
      <c r="C29" t="str">
        <f>orientacao!H5</f>
        <v>,!-Terrain</v>
      </c>
    </row>
    <row r="30" spans="3:3" x14ac:dyDescent="0.3">
      <c r="C30" t="str">
        <f>orientacao!H6</f>
        <v>,!-Loads Convergence Tolerance Value</v>
      </c>
    </row>
    <row r="31" spans="3:3" x14ac:dyDescent="0.3">
      <c r="C31" t="str">
        <f>orientacao!H7</f>
        <v>,!-Temperature Convergence Tolerance Value {deltaC}</v>
      </c>
    </row>
    <row r="32" spans="3:3" x14ac:dyDescent="0.3">
      <c r="C32" t="str">
        <f>orientacao!H8</f>
        <v>,!-Solar Distribution</v>
      </c>
    </row>
    <row r="33" spans="3:3" x14ac:dyDescent="0.3">
      <c r="C33" t="str">
        <f>orientacao!H9</f>
        <v>,!-Maximum Number of Warmup Days</v>
      </c>
    </row>
    <row r="34" spans="3:3" x14ac:dyDescent="0.3">
      <c r="C34" t="str">
        <f>orientacao!H10</f>
        <v>;!-Minimum Number of Warmup Days</v>
      </c>
    </row>
    <row r="37" spans="3:3" x14ac:dyDescent="0.3">
      <c r="C37" t="s">
        <v>23</v>
      </c>
    </row>
    <row r="39" spans="3:3" x14ac:dyDescent="0.3">
      <c r="C39" t="s">
        <v>452</v>
      </c>
    </row>
    <row r="40" spans="3:3" x14ac:dyDescent="0.3">
      <c r="C40" t="s">
        <v>453</v>
      </c>
    </row>
    <row r="43" spans="3:3" x14ac:dyDescent="0.3">
      <c r="C43" t="s">
        <v>30</v>
      </c>
    </row>
    <row r="45" spans="3:3" x14ac:dyDescent="0.3">
      <c r="C45" t="s">
        <v>454</v>
      </c>
    </row>
    <row r="46" spans="3:3" x14ac:dyDescent="0.3">
      <c r="C46" t="s">
        <v>455</v>
      </c>
    </row>
    <row r="47" spans="3:3" x14ac:dyDescent="0.3">
      <c r="C47" t="s">
        <v>456</v>
      </c>
    </row>
    <row r="48" spans="3:3" x14ac:dyDescent="0.3">
      <c r="C48" t="s">
        <v>457</v>
      </c>
    </row>
    <row r="49" spans="3:3" x14ac:dyDescent="0.3">
      <c r="C49" t="s">
        <v>458</v>
      </c>
    </row>
    <row r="50" spans="3:3" x14ac:dyDescent="0.3">
      <c r="C50" t="s">
        <v>459</v>
      </c>
    </row>
    <row r="51" spans="3:3" x14ac:dyDescent="0.3">
      <c r="C51" t="s">
        <v>460</v>
      </c>
    </row>
    <row r="52" spans="3:3" x14ac:dyDescent="0.3">
      <c r="C52" t="s">
        <v>461</v>
      </c>
    </row>
    <row r="53" spans="3:3" x14ac:dyDescent="0.3">
      <c r="C53" t="s">
        <v>462</v>
      </c>
    </row>
    <row r="54" spans="3:3" x14ac:dyDescent="0.3">
      <c r="C54" t="s">
        <v>463</v>
      </c>
    </row>
    <row r="55" spans="3:3" x14ac:dyDescent="0.3">
      <c r="C55" t="s">
        <v>464</v>
      </c>
    </row>
    <row r="56" spans="3:3" x14ac:dyDescent="0.3">
      <c r="C56" t="s">
        <v>465</v>
      </c>
    </row>
    <row r="57" spans="3:3" x14ac:dyDescent="0.3">
      <c r="C57" t="s">
        <v>466</v>
      </c>
    </row>
    <row r="58" spans="3:3" x14ac:dyDescent="0.3">
      <c r="C58" t="s">
        <v>467</v>
      </c>
    </row>
    <row r="61" spans="3:3" x14ac:dyDescent="0.3">
      <c r="C61" t="s">
        <v>31</v>
      </c>
    </row>
    <row r="63" spans="3:3" x14ac:dyDescent="0.3">
      <c r="C63" t="s">
        <v>468</v>
      </c>
    </row>
    <row r="64" spans="3:3" x14ac:dyDescent="0.3">
      <c r="C64" t="s">
        <v>469</v>
      </c>
    </row>
    <row r="65" spans="3:3" x14ac:dyDescent="0.3">
      <c r="C65" t="s">
        <v>470</v>
      </c>
    </row>
    <row r="66" spans="3:3" x14ac:dyDescent="0.3">
      <c r="C66" t="s">
        <v>471</v>
      </c>
    </row>
    <row r="67" spans="3:3" x14ac:dyDescent="0.3">
      <c r="C67" t="s">
        <v>472</v>
      </c>
    </row>
    <row r="68" spans="3:3" x14ac:dyDescent="0.3">
      <c r="C68" t="s">
        <v>473</v>
      </c>
    </row>
    <row r="70" spans="3:3" x14ac:dyDescent="0.3">
      <c r="C70" t="s">
        <v>468</v>
      </c>
    </row>
    <row r="71" spans="3:3" x14ac:dyDescent="0.3">
      <c r="C71" t="s">
        <v>474</v>
      </c>
    </row>
    <row r="72" spans="3:3" x14ac:dyDescent="0.3">
      <c r="C72" t="s">
        <v>470</v>
      </c>
    </row>
    <row r="73" spans="3:3" x14ac:dyDescent="0.3">
      <c r="C73" t="s">
        <v>475</v>
      </c>
    </row>
    <row r="74" spans="3:3" x14ac:dyDescent="0.3">
      <c r="C74" t="s">
        <v>476</v>
      </c>
    </row>
    <row r="75" spans="3:3" x14ac:dyDescent="0.3">
      <c r="C75" t="s">
        <v>477</v>
      </c>
    </row>
    <row r="77" spans="3:3" x14ac:dyDescent="0.3">
      <c r="C77" t="s">
        <v>468</v>
      </c>
    </row>
    <row r="78" spans="3:3" x14ac:dyDescent="0.3">
      <c r="C78" t="s">
        <v>478</v>
      </c>
    </row>
    <row r="79" spans="3:3" x14ac:dyDescent="0.3">
      <c r="C79" t="s">
        <v>479</v>
      </c>
    </row>
    <row r="80" spans="3:3" x14ac:dyDescent="0.3">
      <c r="C80" t="s">
        <v>480</v>
      </c>
    </row>
    <row r="81" spans="3:3" x14ac:dyDescent="0.3">
      <c r="C81" t="s">
        <v>481</v>
      </c>
    </row>
    <row r="84" spans="3:3" x14ac:dyDescent="0.3">
      <c r="C84" t="s">
        <v>32</v>
      </c>
    </row>
    <row r="86" spans="3:3" x14ac:dyDescent="0.3">
      <c r="C86" t="s">
        <v>482</v>
      </c>
    </row>
    <row r="87" spans="3:3" x14ac:dyDescent="0.3">
      <c r="C87" t="s">
        <v>483</v>
      </c>
    </row>
    <row r="88" spans="3:3" x14ac:dyDescent="0.3">
      <c r="C88" t="s">
        <v>484</v>
      </c>
    </row>
    <row r="89" spans="3:3" x14ac:dyDescent="0.3">
      <c r="C89" t="s">
        <v>485</v>
      </c>
    </row>
    <row r="90" spans="3:3" x14ac:dyDescent="0.3">
      <c r="C90" t="s">
        <v>486</v>
      </c>
    </row>
    <row r="91" spans="3:3" x14ac:dyDescent="0.3">
      <c r="C91" t="s">
        <v>487</v>
      </c>
    </row>
    <row r="92" spans="3:3" x14ac:dyDescent="0.3">
      <c r="C92" t="s">
        <v>488</v>
      </c>
    </row>
    <row r="94" spans="3:3" x14ac:dyDescent="0.3">
      <c r="C94" t="s">
        <v>482</v>
      </c>
    </row>
    <row r="95" spans="3:3" x14ac:dyDescent="0.3">
      <c r="C95" t="s">
        <v>489</v>
      </c>
    </row>
    <row r="96" spans="3:3" x14ac:dyDescent="0.3">
      <c r="C96" t="s">
        <v>484</v>
      </c>
    </row>
    <row r="97" spans="3:3" x14ac:dyDescent="0.3">
      <c r="C97" t="s">
        <v>490</v>
      </c>
    </row>
    <row r="98" spans="3:3" x14ac:dyDescent="0.3">
      <c r="C98" t="s">
        <v>486</v>
      </c>
    </row>
    <row r="99" spans="3:3" x14ac:dyDescent="0.3">
      <c r="C99" t="s">
        <v>491</v>
      </c>
    </row>
    <row r="100" spans="3:3" x14ac:dyDescent="0.3">
      <c r="C100" t="s">
        <v>492</v>
      </c>
    </row>
    <row r="101" spans="3:3" x14ac:dyDescent="0.3">
      <c r="C101" t="s">
        <v>493</v>
      </c>
    </row>
    <row r="102" spans="3:3" x14ac:dyDescent="0.3">
      <c r="C102" t="s">
        <v>494</v>
      </c>
    </row>
    <row r="103" spans="3:3" x14ac:dyDescent="0.3">
      <c r="C103" t="s">
        <v>495</v>
      </c>
    </row>
    <row r="104" spans="3:3" x14ac:dyDescent="0.3">
      <c r="C104" t="s">
        <v>496</v>
      </c>
    </row>
    <row r="106" spans="3:3" x14ac:dyDescent="0.3">
      <c r="C106" t="s">
        <v>482</v>
      </c>
    </row>
    <row r="107" spans="3:3" x14ac:dyDescent="0.3">
      <c r="C107" t="s">
        <v>497</v>
      </c>
    </row>
    <row r="108" spans="3:3" x14ac:dyDescent="0.3">
      <c r="C108" t="s">
        <v>484</v>
      </c>
    </row>
    <row r="109" spans="3:3" x14ac:dyDescent="0.3">
      <c r="C109" t="s">
        <v>485</v>
      </c>
    </row>
    <row r="110" spans="3:3" x14ac:dyDescent="0.3">
      <c r="C110" t="s">
        <v>486</v>
      </c>
    </row>
    <row r="111" spans="3:3" x14ac:dyDescent="0.3">
      <c r="C111" t="s">
        <v>498</v>
      </c>
    </row>
    <row r="112" spans="3:3" x14ac:dyDescent="0.3">
      <c r="C112" t="s">
        <v>499</v>
      </c>
    </row>
    <row r="113" spans="3:3" x14ac:dyDescent="0.3">
      <c r="C113" t="s">
        <v>500</v>
      </c>
    </row>
    <row r="114" spans="3:3" x14ac:dyDescent="0.3">
      <c r="C114" t="s">
        <v>501</v>
      </c>
    </row>
    <row r="115" spans="3:3" x14ac:dyDescent="0.3">
      <c r="C115" t="s">
        <v>502</v>
      </c>
    </row>
    <row r="116" spans="3:3" x14ac:dyDescent="0.3">
      <c r="C116" t="s">
        <v>503</v>
      </c>
    </row>
    <row r="117" spans="3:3" x14ac:dyDescent="0.3">
      <c r="C117" t="s">
        <v>504</v>
      </c>
    </row>
    <row r="118" spans="3:3" x14ac:dyDescent="0.3">
      <c r="C118" t="s">
        <v>505</v>
      </c>
    </row>
    <row r="120" spans="3:3" x14ac:dyDescent="0.3">
      <c r="C120" t="s">
        <v>482</v>
      </c>
    </row>
    <row r="121" spans="3:3" x14ac:dyDescent="0.3">
      <c r="C121" t="s">
        <v>506</v>
      </c>
    </row>
    <row r="122" spans="3:3" x14ac:dyDescent="0.3">
      <c r="C122" t="s">
        <v>484</v>
      </c>
    </row>
    <row r="123" spans="3:3" x14ac:dyDescent="0.3">
      <c r="C123" t="s">
        <v>485</v>
      </c>
    </row>
    <row r="124" spans="3:3" x14ac:dyDescent="0.3">
      <c r="C124" t="s">
        <v>486</v>
      </c>
    </row>
    <row r="125" spans="3:3" x14ac:dyDescent="0.3">
      <c r="C125" t="s">
        <v>507</v>
      </c>
    </row>
    <row r="126" spans="3:3" x14ac:dyDescent="0.3">
      <c r="C126" t="s">
        <v>499</v>
      </c>
    </row>
    <row r="127" spans="3:3" x14ac:dyDescent="0.3">
      <c r="C127" t="s">
        <v>508</v>
      </c>
    </row>
    <row r="128" spans="3:3" x14ac:dyDescent="0.3">
      <c r="C128" t="s">
        <v>509</v>
      </c>
    </row>
    <row r="129" spans="3:3" x14ac:dyDescent="0.3">
      <c r="C129" t="s">
        <v>502</v>
      </c>
    </row>
    <row r="130" spans="3:3" x14ac:dyDescent="0.3">
      <c r="C130" t="s">
        <v>510</v>
      </c>
    </row>
    <row r="131" spans="3:3" x14ac:dyDescent="0.3">
      <c r="C131" t="s">
        <v>511</v>
      </c>
    </row>
    <row r="132" spans="3:3" x14ac:dyDescent="0.3">
      <c r="C132" t="s">
        <v>512</v>
      </c>
    </row>
    <row r="133" spans="3:3" x14ac:dyDescent="0.3">
      <c r="C133" t="s">
        <v>513</v>
      </c>
    </row>
    <row r="134" spans="3:3" x14ac:dyDescent="0.3">
      <c r="C134" t="s">
        <v>514</v>
      </c>
    </row>
    <row r="136" spans="3:3" x14ac:dyDescent="0.3">
      <c r="C136" t="s">
        <v>482</v>
      </c>
    </row>
    <row r="137" spans="3:3" x14ac:dyDescent="0.3">
      <c r="C137" t="s">
        <v>515</v>
      </c>
    </row>
    <row r="138" spans="3:3" x14ac:dyDescent="0.3">
      <c r="C138" t="s">
        <v>484</v>
      </c>
    </row>
    <row r="139" spans="3:3" x14ac:dyDescent="0.3">
      <c r="C139" t="s">
        <v>485</v>
      </c>
    </row>
    <row r="140" spans="3:3" x14ac:dyDescent="0.3">
      <c r="C140" t="s">
        <v>486</v>
      </c>
    </row>
    <row r="141" spans="3:3" x14ac:dyDescent="0.3">
      <c r="C141" t="s">
        <v>516</v>
      </c>
    </row>
    <row r="142" spans="3:3" x14ac:dyDescent="0.3">
      <c r="C142" t="s">
        <v>499</v>
      </c>
    </row>
    <row r="143" spans="3:3" x14ac:dyDescent="0.3">
      <c r="C143" t="s">
        <v>493</v>
      </c>
    </row>
    <row r="144" spans="3:3" x14ac:dyDescent="0.3">
      <c r="C144" t="s">
        <v>509</v>
      </c>
    </row>
    <row r="145" spans="3:3" x14ac:dyDescent="0.3">
      <c r="C145" t="s">
        <v>495</v>
      </c>
    </row>
    <row r="146" spans="3:3" x14ac:dyDescent="0.3">
      <c r="C146" t="s">
        <v>517</v>
      </c>
    </row>
    <row r="148" spans="3:3" x14ac:dyDescent="0.3">
      <c r="C148" t="s">
        <v>482</v>
      </c>
    </row>
    <row r="149" spans="3:3" x14ac:dyDescent="0.3">
      <c r="C149" t="s">
        <v>518</v>
      </c>
    </row>
    <row r="150" spans="3:3" x14ac:dyDescent="0.3">
      <c r="C150" t="s">
        <v>484</v>
      </c>
    </row>
    <row r="151" spans="3:3" x14ac:dyDescent="0.3">
      <c r="C151" t="s">
        <v>490</v>
      </c>
    </row>
    <row r="152" spans="3:3" x14ac:dyDescent="0.3">
      <c r="C152" t="s">
        <v>486</v>
      </c>
    </row>
    <row r="153" spans="3:3" x14ac:dyDescent="0.3">
      <c r="C153" t="s">
        <v>487</v>
      </c>
    </row>
    <row r="154" spans="3:3" x14ac:dyDescent="0.3">
      <c r="C154" t="s">
        <v>519</v>
      </c>
    </row>
    <row r="156" spans="3:3" x14ac:dyDescent="0.3">
      <c r="C156" t="s">
        <v>482</v>
      </c>
    </row>
    <row r="157" spans="3:3" x14ac:dyDescent="0.3">
      <c r="C157" t="s">
        <v>520</v>
      </c>
    </row>
    <row r="158" spans="3:3" x14ac:dyDescent="0.3">
      <c r="C158" t="s">
        <v>484</v>
      </c>
    </row>
    <row r="159" spans="3:3" x14ac:dyDescent="0.3">
      <c r="C159" t="s">
        <v>490</v>
      </c>
    </row>
    <row r="160" spans="3:3" x14ac:dyDescent="0.3">
      <c r="C160" t="s">
        <v>486</v>
      </c>
    </row>
    <row r="161" spans="3:3" x14ac:dyDescent="0.3">
      <c r="C161" t="s">
        <v>487</v>
      </c>
    </row>
    <row r="162" spans="3:3" x14ac:dyDescent="0.3">
      <c r="C162" t="s">
        <v>521</v>
      </c>
    </row>
    <row r="164" spans="3:3" x14ac:dyDescent="0.3">
      <c r="C164" t="s">
        <v>482</v>
      </c>
    </row>
    <row r="165" spans="3:3" x14ac:dyDescent="0.3">
      <c r="C165" t="s">
        <v>522</v>
      </c>
    </row>
    <row r="166" spans="3:3" x14ac:dyDescent="0.3">
      <c r="C166" t="s">
        <v>484</v>
      </c>
    </row>
    <row r="167" spans="3:3" x14ac:dyDescent="0.3">
      <c r="C167" t="s">
        <v>485</v>
      </c>
    </row>
    <row r="168" spans="3:3" x14ac:dyDescent="0.3">
      <c r="C168" t="s">
        <v>486</v>
      </c>
    </row>
    <row r="169" spans="3:3" x14ac:dyDescent="0.3">
      <c r="C169" t="s">
        <v>523</v>
      </c>
    </row>
    <row r="170" spans="3:3" x14ac:dyDescent="0.3">
      <c r="C170" t="s">
        <v>499</v>
      </c>
    </row>
    <row r="171" spans="3:3" x14ac:dyDescent="0.3">
      <c r="C171" t="s">
        <v>524</v>
      </c>
    </row>
    <row r="172" spans="3:3" x14ac:dyDescent="0.3">
      <c r="C172" t="s">
        <v>509</v>
      </c>
    </row>
    <row r="173" spans="3:3" x14ac:dyDescent="0.3">
      <c r="C173" t="s">
        <v>495</v>
      </c>
    </row>
    <row r="174" spans="3:3" x14ac:dyDescent="0.3">
      <c r="C174" t="s">
        <v>517</v>
      </c>
    </row>
    <row r="176" spans="3:3" x14ac:dyDescent="0.3">
      <c r="C176" t="s">
        <v>482</v>
      </c>
    </row>
    <row r="177" spans="3:3" x14ac:dyDescent="0.3">
      <c r="C177" t="s">
        <v>525</v>
      </c>
    </row>
    <row r="178" spans="3:3" x14ac:dyDescent="0.3">
      <c r="C178" t="s">
        <v>526</v>
      </c>
    </row>
    <row r="179" spans="3:3" x14ac:dyDescent="0.3">
      <c r="C179" t="s">
        <v>490</v>
      </c>
    </row>
    <row r="180" spans="3:3" x14ac:dyDescent="0.3">
      <c r="C180" t="s">
        <v>527</v>
      </c>
    </row>
    <row r="181" spans="3:3" x14ac:dyDescent="0.3">
      <c r="C181" t="s">
        <v>528</v>
      </c>
    </row>
    <row r="182" spans="3:3" x14ac:dyDescent="0.3">
      <c r="C182" t="s">
        <v>499</v>
      </c>
    </row>
    <row r="183" spans="3:3" x14ac:dyDescent="0.3">
      <c r="C183" t="s">
        <v>529</v>
      </c>
    </row>
    <row r="184" spans="3:3" x14ac:dyDescent="0.3">
      <c r="C184" t="s">
        <v>509</v>
      </c>
    </row>
    <row r="185" spans="3:3" x14ac:dyDescent="0.3">
      <c r="C185" t="s">
        <v>495</v>
      </c>
    </row>
    <row r="186" spans="3:3" x14ac:dyDescent="0.3">
      <c r="C186" t="s">
        <v>510</v>
      </c>
    </row>
    <row r="187" spans="3:3" x14ac:dyDescent="0.3">
      <c r="C187" t="s">
        <v>530</v>
      </c>
    </row>
    <row r="188" spans="3:3" x14ac:dyDescent="0.3">
      <c r="C188" t="s">
        <v>531</v>
      </c>
    </row>
    <row r="189" spans="3:3" x14ac:dyDescent="0.3">
      <c r="C189" t="s">
        <v>532</v>
      </c>
    </row>
    <row r="190" spans="3:3" x14ac:dyDescent="0.3">
      <c r="C190" t="s">
        <v>533</v>
      </c>
    </row>
    <row r="191" spans="3:3" x14ac:dyDescent="0.3">
      <c r="C191" t="s">
        <v>534</v>
      </c>
    </row>
    <row r="192" spans="3:3" x14ac:dyDescent="0.3">
      <c r="C192" t="s">
        <v>535</v>
      </c>
    </row>
    <row r="193" spans="3:3" x14ac:dyDescent="0.3">
      <c r="C193" t="s">
        <v>536</v>
      </c>
    </row>
    <row r="195" spans="3:3" x14ac:dyDescent="0.3">
      <c r="C195" t="s">
        <v>482</v>
      </c>
    </row>
    <row r="196" spans="3:3" x14ac:dyDescent="0.3">
      <c r="C196" t="s">
        <v>537</v>
      </c>
    </row>
    <row r="197" spans="3:3" x14ac:dyDescent="0.3">
      <c r="C197" t="s">
        <v>526</v>
      </c>
    </row>
    <row r="198" spans="3:3" x14ac:dyDescent="0.3">
      <c r="C198" t="s">
        <v>490</v>
      </c>
    </row>
    <row r="199" spans="3:3" x14ac:dyDescent="0.3">
      <c r="C199" t="s">
        <v>527</v>
      </c>
    </row>
    <row r="200" spans="3:3" x14ac:dyDescent="0.3">
      <c r="C200" t="s">
        <v>528</v>
      </c>
    </row>
    <row r="201" spans="3:3" x14ac:dyDescent="0.3">
      <c r="C201" t="s">
        <v>538</v>
      </c>
    </row>
    <row r="202" spans="3:3" x14ac:dyDescent="0.3">
      <c r="C202" t="s">
        <v>529</v>
      </c>
    </row>
    <row r="203" spans="3:3" x14ac:dyDescent="0.3">
      <c r="C203" t="s">
        <v>509</v>
      </c>
    </row>
    <row r="204" spans="3:3" x14ac:dyDescent="0.3">
      <c r="C204" t="s">
        <v>495</v>
      </c>
    </row>
    <row r="205" spans="3:3" x14ac:dyDescent="0.3">
      <c r="C205" t="s">
        <v>539</v>
      </c>
    </row>
    <row r="206" spans="3:3" x14ac:dyDescent="0.3">
      <c r="C206" t="s">
        <v>530</v>
      </c>
    </row>
    <row r="207" spans="3:3" x14ac:dyDescent="0.3">
      <c r="C207" t="s">
        <v>531</v>
      </c>
    </row>
    <row r="208" spans="3:3" x14ac:dyDescent="0.3">
      <c r="C208" t="s">
        <v>540</v>
      </c>
    </row>
    <row r="209" spans="3:3" x14ac:dyDescent="0.3">
      <c r="C209" t="s">
        <v>533</v>
      </c>
    </row>
    <row r="210" spans="3:3" x14ac:dyDescent="0.3">
      <c r="C210" t="s">
        <v>534</v>
      </c>
    </row>
    <row r="211" spans="3:3" x14ac:dyDescent="0.3">
      <c r="C211" t="s">
        <v>535</v>
      </c>
    </row>
    <row r="212" spans="3:3" x14ac:dyDescent="0.3">
      <c r="C212" t="s">
        <v>541</v>
      </c>
    </row>
    <row r="215" spans="3:3" x14ac:dyDescent="0.3">
      <c r="C215" t="s">
        <v>33</v>
      </c>
    </row>
    <row r="217" spans="3:3" x14ac:dyDescent="0.3">
      <c r="C217" t="s">
        <v>542</v>
      </c>
    </row>
    <row r="218" spans="3:3" x14ac:dyDescent="0.3">
      <c r="C218" t="s">
        <v>543</v>
      </c>
    </row>
    <row r="219" spans="3:3" x14ac:dyDescent="0.3">
      <c r="C219" t="s">
        <v>544</v>
      </c>
    </row>
    <row r="220" spans="3:3" x14ac:dyDescent="0.3">
      <c r="C220" t="s">
        <v>545</v>
      </c>
    </row>
    <row r="223" spans="3:3" x14ac:dyDescent="0.3">
      <c r="C223" t="s">
        <v>21</v>
      </c>
    </row>
    <row r="225" spans="3:3" x14ac:dyDescent="0.3">
      <c r="C225" t="str">
        <f>'cor telha'!I2</f>
        <v>Material,</v>
      </c>
    </row>
    <row r="226" spans="3:3" x14ac:dyDescent="0.3">
      <c r="C226" t="str">
        <f>'cor telha'!I3</f>
        <v>Cerâmica tijolo 9x9x24 parede sem revestimento,  !- Name</v>
      </c>
    </row>
    <row r="227" spans="3:3" x14ac:dyDescent="0.3">
      <c r="C227" t="str">
        <f>'cor telha'!I4</f>
        <v>Rough,!-Roughness</v>
      </c>
    </row>
    <row r="228" spans="3:3" x14ac:dyDescent="0.3">
      <c r="C228" t="str">
        <f>'cor telha'!I5</f>
        <v>0.014,!-Thickness {m}</v>
      </c>
    </row>
    <row r="229" spans="3:3" x14ac:dyDescent="0.3">
      <c r="C229" t="str">
        <f>'cor telha'!I6</f>
        <v>0.9,!-Conductivity {W/m-K}</v>
      </c>
    </row>
    <row r="230" spans="3:3" x14ac:dyDescent="0.3">
      <c r="C230" t="str">
        <f>'cor telha'!I7</f>
        <v>1600,!-Density {kg/m3}</v>
      </c>
    </row>
    <row r="231" spans="3:3" x14ac:dyDescent="0.3">
      <c r="C231" t="str">
        <f>'cor telha'!I8</f>
        <v>920,!-Specific Heat {J/kg-K}</v>
      </c>
    </row>
    <row r="232" spans="3:3" x14ac:dyDescent="0.3">
      <c r="C232" t="str">
        <f>'cor telha'!I9</f>
        <v>0.9,!-Thermal Absorptance</v>
      </c>
    </row>
    <row r="233" spans="3:3" x14ac:dyDescent="0.3">
      <c r="C233" t="str">
        <f>'cor telha'!I10</f>
        <v>0.7,!-Solar Absorptance</v>
      </c>
    </row>
    <row r="234" spans="3:3" x14ac:dyDescent="0.3">
      <c r="C234" t="str">
        <f>'cor telha'!I11</f>
        <v>0.7;!-Visible Absorptance</v>
      </c>
    </row>
    <row r="235" spans="3:3" x14ac:dyDescent="0.3">
      <c r="C235" t="str">
        <f>'cor telha'!I12</f>
        <v/>
      </c>
    </row>
    <row r="236" spans="3:3" x14ac:dyDescent="0.3">
      <c r="C236" t="str">
        <f>'cor telha'!I13</f>
        <v>Material,</v>
      </c>
    </row>
    <row r="237" spans="3:3" x14ac:dyDescent="0.3">
      <c r="C237" t="str">
        <f>'cor telha'!I14</f>
        <v>Cerâmica tijolo 9x14x24 ,!-Name</v>
      </c>
    </row>
    <row r="238" spans="3:3" x14ac:dyDescent="0.3">
      <c r="C238" t="str">
        <f>'cor telha'!I15</f>
        <v>Rough,!-Roughness</v>
      </c>
    </row>
    <row r="239" spans="3:3" x14ac:dyDescent="0.3">
      <c r="C239" t="str">
        <f>'cor telha'!I16</f>
        <v>0.0134,!-Thickness {m}</v>
      </c>
    </row>
    <row r="240" spans="3:3" x14ac:dyDescent="0.3">
      <c r="C240" t="str">
        <f>'cor telha'!I17</f>
        <v>0.9,!-Conductivity {W/m-K}</v>
      </c>
    </row>
    <row r="241" spans="3:3" x14ac:dyDescent="0.3">
      <c r="C241" t="str">
        <f>'cor telha'!I18</f>
        <v>1600,!-Density {kg/m3}</v>
      </c>
    </row>
    <row r="242" spans="3:3" x14ac:dyDescent="0.3">
      <c r="C242" t="str">
        <f>'cor telha'!I19</f>
        <v>920,!-Specific Heat {J/kg-K}</v>
      </c>
    </row>
    <row r="243" spans="3:3" x14ac:dyDescent="0.3">
      <c r="C243" t="str">
        <f>'cor telha'!I20</f>
        <v>0.9,!-Thermal Absorptance</v>
      </c>
    </row>
    <row r="244" spans="3:3" x14ac:dyDescent="0.3">
      <c r="C244" t="str">
        <f>'cor telha'!I21</f>
        <v>0.7,!-Solar Absorptance</v>
      </c>
    </row>
    <row r="245" spans="3:3" x14ac:dyDescent="0.3">
      <c r="C245" t="str">
        <f>'cor telha'!I22</f>
        <v>0.7;!-Visible Absorptance</v>
      </c>
    </row>
    <row r="246" spans="3:3" x14ac:dyDescent="0.3">
      <c r="C246" t="str">
        <f>'cor telha'!I23</f>
        <v/>
      </c>
    </row>
    <row r="247" spans="3:3" x14ac:dyDescent="0.3">
      <c r="C247" t="str">
        <f>'cor telha'!I24</f>
        <v>Material,</v>
      </c>
    </row>
    <row r="248" spans="3:3" x14ac:dyDescent="0.3">
      <c r="C248" t="str">
        <f>'cor telha'!I25</f>
        <v>argamassa interna,!-Name</v>
      </c>
    </row>
    <row r="249" spans="3:3" x14ac:dyDescent="0.3">
      <c r="C249" t="str">
        <f>'cor telha'!I26</f>
        <v>Rough,!-Roughness</v>
      </c>
    </row>
    <row r="250" spans="3:3" x14ac:dyDescent="0.3">
      <c r="C250" t="str">
        <f>'cor telha'!I27</f>
        <v>0.025,!-Thickness {m}</v>
      </c>
    </row>
    <row r="251" spans="3:3" x14ac:dyDescent="0.3">
      <c r="C251" t="str">
        <f>'cor telha'!I28</f>
        <v>1.15,!-Conductivity {W/m-K}</v>
      </c>
    </row>
    <row r="252" spans="3:3" x14ac:dyDescent="0.3">
      <c r="C252" t="str">
        <f>'cor telha'!I29</f>
        <v>2000,!-Density {kg/m3}</v>
      </c>
    </row>
    <row r="253" spans="3:3" x14ac:dyDescent="0.3">
      <c r="C253" t="str">
        <f>'cor telha'!I30</f>
        <v>1000,!-Specific Heat {J/kg-K}</v>
      </c>
    </row>
    <row r="254" spans="3:3" x14ac:dyDescent="0.3">
      <c r="C254" t="str">
        <f>'cor telha'!I31</f>
        <v>0.9,!-Thermal Absorptance</v>
      </c>
    </row>
    <row r="255" spans="3:3" x14ac:dyDescent="0.3">
      <c r="C255" t="str">
        <f>'cor telha'!I32</f>
        <v>0.7,!-Solar Absorptance</v>
      </c>
    </row>
    <row r="256" spans="3:3" x14ac:dyDescent="0.3">
      <c r="C256" t="str">
        <f>'cor telha'!I33</f>
        <v>0.7;!-Visible Absorptance</v>
      </c>
    </row>
    <row r="257" spans="3:3" x14ac:dyDescent="0.3">
      <c r="C257" t="str">
        <f>'cor telha'!I34</f>
        <v/>
      </c>
    </row>
    <row r="258" spans="3:3" x14ac:dyDescent="0.3">
      <c r="C258" t="str">
        <f>'cor telha'!I35</f>
        <v>Material,</v>
      </c>
    </row>
    <row r="259" spans="3:3" x14ac:dyDescent="0.3">
      <c r="C259" t="str">
        <f>'cor telha'!I36</f>
        <v>gesso interno,!-Name</v>
      </c>
    </row>
    <row r="260" spans="3:3" x14ac:dyDescent="0.3">
      <c r="C260" t="str">
        <f>'cor telha'!I37</f>
        <v>Rough,!-Roughness</v>
      </c>
    </row>
    <row r="261" spans="3:3" x14ac:dyDescent="0.3">
      <c r="C261" t="str">
        <f>'cor telha'!I38</f>
        <v>0.02,!-Thickness {m}</v>
      </c>
    </row>
    <row r="262" spans="3:3" x14ac:dyDescent="0.3">
      <c r="C262" t="str">
        <f>'cor telha'!I39</f>
        <v>0.35,!-Conductivity {W/m-K}</v>
      </c>
    </row>
    <row r="263" spans="3:3" x14ac:dyDescent="0.3">
      <c r="C263" t="str">
        <f>'cor telha'!I40</f>
        <v>900,!-Density {kg/m3}</v>
      </c>
    </row>
    <row r="264" spans="3:3" x14ac:dyDescent="0.3">
      <c r="C264" t="str">
        <f>'cor telha'!I41</f>
        <v>870,!-Specific Heat {J/kg-K}</v>
      </c>
    </row>
    <row r="265" spans="3:3" x14ac:dyDescent="0.3">
      <c r="C265" t="str">
        <f>'cor telha'!I42</f>
        <v>0.9,!-Thermal Absorptance</v>
      </c>
    </row>
    <row r="266" spans="3:3" x14ac:dyDescent="0.3">
      <c r="C266" t="str">
        <f>'cor telha'!I43</f>
        <v>0.7,!-Solar Absorptance</v>
      </c>
    </row>
    <row r="267" spans="3:3" x14ac:dyDescent="0.3">
      <c r="C267" t="str">
        <f>'cor telha'!I44</f>
        <v>0.7;!-Visible Absorptance</v>
      </c>
    </row>
    <row r="268" spans="3:3" x14ac:dyDescent="0.3">
      <c r="C268" t="str">
        <f>'cor telha'!I45</f>
        <v/>
      </c>
    </row>
    <row r="269" spans="3:3" x14ac:dyDescent="0.3">
      <c r="C269" t="str">
        <f>'cor telha'!I46</f>
        <v>Material,</v>
      </c>
    </row>
    <row r="270" spans="3:3" x14ac:dyDescent="0.3">
      <c r="C270" t="str">
        <f>'cor telha'!I47</f>
        <v>Placa gesso,!-Name</v>
      </c>
    </row>
    <row r="271" spans="3:3" x14ac:dyDescent="0.3">
      <c r="C271" t="str">
        <f>'cor telha'!I48</f>
        <v>Rough,!-Roughness</v>
      </c>
    </row>
    <row r="272" spans="3:3" x14ac:dyDescent="0.3">
      <c r="C272" t="str">
        <f>'cor telha'!I49</f>
        <v>0.02,!-Thickness {m}</v>
      </c>
    </row>
    <row r="273" spans="3:3" x14ac:dyDescent="0.3">
      <c r="C273" t="str">
        <f>'cor telha'!I50</f>
        <v>0.35,!-Conductivity {W/m-K}</v>
      </c>
    </row>
    <row r="274" spans="3:3" x14ac:dyDescent="0.3">
      <c r="C274" t="str">
        <f>'cor telha'!I51</f>
        <v>900,!-Density {kg/m3}</v>
      </c>
    </row>
    <row r="275" spans="3:3" x14ac:dyDescent="0.3">
      <c r="C275" t="str">
        <f>'cor telha'!I52</f>
        <v>870,!-Specific Heat {J/kg-K}</v>
      </c>
    </row>
    <row r="276" spans="3:3" x14ac:dyDescent="0.3">
      <c r="C276" t="str">
        <f>'cor telha'!I53</f>
        <v>0.9,!-Thermal Absorptance</v>
      </c>
    </row>
    <row r="277" spans="3:3" x14ac:dyDescent="0.3">
      <c r="C277" t="str">
        <f>'cor telha'!I54</f>
        <v>0.7,!-Solar Absorptance</v>
      </c>
    </row>
    <row r="278" spans="3:3" x14ac:dyDescent="0.3">
      <c r="C278" t="str">
        <f>'cor telha'!I55</f>
        <v>0.7;!-Visible Absorptance</v>
      </c>
    </row>
    <row r="279" spans="3:3" x14ac:dyDescent="0.3">
      <c r="C279" t="str">
        <f>'cor telha'!I56</f>
        <v/>
      </c>
    </row>
    <row r="280" spans="3:3" x14ac:dyDescent="0.3">
      <c r="C280" t="str">
        <f>'cor telha'!I57</f>
        <v>Material,</v>
      </c>
    </row>
    <row r="281" spans="3:3" x14ac:dyDescent="0.3">
      <c r="C281" t="str">
        <f>'cor telha'!I58</f>
        <v>Granito ,!-Name</v>
      </c>
    </row>
    <row r="282" spans="3:3" x14ac:dyDescent="0.3">
      <c r="C282" t="str">
        <f>'cor telha'!I59</f>
        <v>Rough,!-Roughness</v>
      </c>
    </row>
    <row r="283" spans="3:3" x14ac:dyDescent="0.3">
      <c r="C283" t="str">
        <f>'cor telha'!I60</f>
        <v>0.025,!-Thickness {m}</v>
      </c>
    </row>
    <row r="284" spans="3:3" x14ac:dyDescent="0.3">
      <c r="C284" t="str">
        <f>'cor telha'!I61</f>
        <v>3,!-Conductivity {W/m-K}</v>
      </c>
    </row>
    <row r="285" spans="3:3" x14ac:dyDescent="0.3">
      <c r="C285" t="str">
        <f>'cor telha'!I62</f>
        <v>2600,!-Density {kg/m3}</v>
      </c>
    </row>
    <row r="286" spans="3:3" x14ac:dyDescent="0.3">
      <c r="C286" t="str">
        <f>'cor telha'!I63</f>
        <v>800,!-Specific Heat {J/kg-K}</v>
      </c>
    </row>
    <row r="287" spans="3:3" x14ac:dyDescent="0.3">
      <c r="C287" t="str">
        <f>'cor telha'!I64</f>
        <v>0.9,!-Thermal Absorptance</v>
      </c>
    </row>
    <row r="288" spans="3:3" x14ac:dyDescent="0.3">
      <c r="C288" t="str">
        <f>'cor telha'!I65</f>
        <v>0.7,!-Solar Absorptance</v>
      </c>
    </row>
    <row r="289" spans="3:3" x14ac:dyDescent="0.3">
      <c r="C289" t="str">
        <f>'cor telha'!I66</f>
        <v>0.7;!-Visible Absorptance</v>
      </c>
    </row>
    <row r="290" spans="3:3" x14ac:dyDescent="0.3">
      <c r="C290" t="str">
        <f>'cor telha'!I67</f>
        <v/>
      </c>
    </row>
    <row r="291" spans="3:3" x14ac:dyDescent="0.3">
      <c r="C291" t="str">
        <f>'cor telha'!I68</f>
        <v>Material,</v>
      </c>
    </row>
    <row r="292" spans="3:3" x14ac:dyDescent="0.3">
      <c r="C292" t="str">
        <f>'cor telha'!I69</f>
        <v>Cerâmica tijolo 9x19x19,!-Name</v>
      </c>
    </row>
    <row r="293" spans="3:3" x14ac:dyDescent="0.3">
      <c r="C293" t="str">
        <f>'cor telha'!I70</f>
        <v>Rough,!-Roughness</v>
      </c>
    </row>
    <row r="294" spans="3:3" x14ac:dyDescent="0.3">
      <c r="C294" t="str">
        <f>'cor telha'!I71</f>
        <v>0.013,!-Thickness {m}</v>
      </c>
    </row>
    <row r="295" spans="3:3" x14ac:dyDescent="0.3">
      <c r="C295" t="str">
        <f>'cor telha'!I72</f>
        <v>0.9,!-Conductivity {W/m-K}</v>
      </c>
    </row>
    <row r="296" spans="3:3" x14ac:dyDescent="0.3">
      <c r="C296" t="str">
        <f>'cor telha'!I73</f>
        <v>1600,!-Density {kg/m3}</v>
      </c>
    </row>
    <row r="297" spans="3:3" x14ac:dyDescent="0.3">
      <c r="C297" t="str">
        <f>'cor telha'!I74</f>
        <v>920,!-Specific Heat {J/kg-K}</v>
      </c>
    </row>
    <row r="298" spans="3:3" x14ac:dyDescent="0.3">
      <c r="C298" t="str">
        <f>'cor telha'!I75</f>
        <v>0.9,!-Thermal Absorptance</v>
      </c>
    </row>
    <row r="299" spans="3:3" x14ac:dyDescent="0.3">
      <c r="C299" t="str">
        <f>'cor telha'!I76</f>
        <v>0.7,!-Solar Absorptance</v>
      </c>
    </row>
    <row r="300" spans="3:3" x14ac:dyDescent="0.3">
      <c r="C300" t="str">
        <f>'cor telha'!I77</f>
        <v>0.7;!-Visible Absorptance</v>
      </c>
    </row>
    <row r="301" spans="3:3" x14ac:dyDescent="0.3">
      <c r="C301" t="str">
        <f>'cor telha'!I78</f>
        <v/>
      </c>
    </row>
    <row r="302" spans="3:3" x14ac:dyDescent="0.3">
      <c r="C302" t="str">
        <f>'cor telha'!I79</f>
        <v>Material,</v>
      </c>
    </row>
    <row r="303" spans="3:3" x14ac:dyDescent="0.3">
      <c r="C303" t="str">
        <f>'cor telha'!I80</f>
        <v>Cerâmica tijolo 12x19x19,!-Name</v>
      </c>
    </row>
    <row r="304" spans="3:3" x14ac:dyDescent="0.3">
      <c r="C304" t="str">
        <f>'cor telha'!I81</f>
        <v>Rough,!-Roughness</v>
      </c>
    </row>
    <row r="305" spans="3:3" x14ac:dyDescent="0.3">
      <c r="C305" t="str">
        <f>'cor telha'!I82</f>
        <v>0.013,!-Thickness {m}</v>
      </c>
    </row>
    <row r="306" spans="3:3" x14ac:dyDescent="0.3">
      <c r="C306" t="str">
        <f>'cor telha'!I83</f>
        <v>0.9,!-Conductivity {W/m-K}</v>
      </c>
    </row>
    <row r="307" spans="3:3" x14ac:dyDescent="0.3">
      <c r="C307" t="str">
        <f>'cor telha'!I84</f>
        <v>1600,!-Density {kg/m3}</v>
      </c>
    </row>
    <row r="308" spans="3:3" x14ac:dyDescent="0.3">
      <c r="C308" t="str">
        <f>'cor telha'!I85</f>
        <v>920,!-Specific Heat {J/kg-K}</v>
      </c>
    </row>
    <row r="309" spans="3:3" x14ac:dyDescent="0.3">
      <c r="C309" t="str">
        <f>'cor telha'!I86</f>
        <v>0.9,!-Thermal Absorptance</v>
      </c>
    </row>
    <row r="310" spans="3:3" x14ac:dyDescent="0.3">
      <c r="C310" t="str">
        <f>'cor telha'!I87</f>
        <v>0.7,!-Solar Absorptance</v>
      </c>
    </row>
    <row r="311" spans="3:3" x14ac:dyDescent="0.3">
      <c r="C311" t="str">
        <f>'cor telha'!I88</f>
        <v>0.7;!-Visible Absorptance</v>
      </c>
    </row>
    <row r="312" spans="3:3" x14ac:dyDescent="0.3">
      <c r="C312" t="str">
        <f>'cor telha'!I89</f>
        <v/>
      </c>
    </row>
    <row r="313" spans="3:3" x14ac:dyDescent="0.3">
      <c r="C313" t="str">
        <f>'cor telha'!I90</f>
        <v>Material,</v>
      </c>
    </row>
    <row r="314" spans="3:3" x14ac:dyDescent="0.3">
      <c r="C314" t="str">
        <f>'cor telha'!I91</f>
        <v>Cerâmica tijolo 14x19x29,!-Name</v>
      </c>
    </row>
    <row r="315" spans="3:3" x14ac:dyDescent="0.3">
      <c r="C315" t="str">
        <f>'cor telha'!I92</f>
        <v>Rough,!-Roughness</v>
      </c>
    </row>
    <row r="316" spans="3:3" x14ac:dyDescent="0.3">
      <c r="C316" t="str">
        <f>'cor telha'!I93</f>
        <v>0.0165,!-Thickness {m}</v>
      </c>
    </row>
    <row r="317" spans="3:3" x14ac:dyDescent="0.3">
      <c r="C317" t="str">
        <f>'cor telha'!I94</f>
        <v>0.9,!-Conductivity {W/m-K}</v>
      </c>
    </row>
    <row r="318" spans="3:3" x14ac:dyDescent="0.3">
      <c r="C318" t="str">
        <f>'cor telha'!I95</f>
        <v>1600,!-Density {kg/m3}</v>
      </c>
    </row>
    <row r="319" spans="3:3" x14ac:dyDescent="0.3">
      <c r="C319" t="str">
        <f>'cor telha'!I96</f>
        <v>920,!-Specific Heat {J/kg-K}</v>
      </c>
    </row>
    <row r="320" spans="3:3" x14ac:dyDescent="0.3">
      <c r="C320" t="str">
        <f>'cor telha'!I97</f>
        <v>0.9,!-Thermal Absorptance</v>
      </c>
    </row>
    <row r="321" spans="3:3" x14ac:dyDescent="0.3">
      <c r="C321" t="str">
        <f>'cor telha'!I98</f>
        <v>0.7,!-Solar Absorptance</v>
      </c>
    </row>
    <row r="322" spans="3:3" x14ac:dyDescent="0.3">
      <c r="C322" t="str">
        <f>'cor telha'!I99</f>
        <v>0.7;!-Visible Absorptance</v>
      </c>
    </row>
    <row r="323" spans="3:3" x14ac:dyDescent="0.3">
      <c r="C323" t="str">
        <f>'cor telha'!I100</f>
        <v/>
      </c>
    </row>
    <row r="324" spans="3:3" x14ac:dyDescent="0.3">
      <c r="C324" t="str">
        <f>'cor telha'!I101</f>
        <v>Material,</v>
      </c>
    </row>
    <row r="325" spans="3:3" x14ac:dyDescent="0.3">
      <c r="C325" t="str">
        <f>'cor telha'!I102</f>
        <v>Concreto bloco 9x19x39,!-Name</v>
      </c>
    </row>
    <row r="326" spans="3:3" x14ac:dyDescent="0.3">
      <c r="C326" t="str">
        <f>'cor telha'!I103</f>
        <v>Rough,!-Roughness</v>
      </c>
    </row>
    <row r="327" spans="3:3" x14ac:dyDescent="0.3">
      <c r="C327" t="str">
        <f>'cor telha'!I104</f>
        <v>0.0173,!-Thickness {m}</v>
      </c>
    </row>
    <row r="328" spans="3:3" x14ac:dyDescent="0.3">
      <c r="C328" t="str">
        <f>'cor telha'!I105</f>
        <v>1.75,!-Conductivity {W/m-K}</v>
      </c>
    </row>
    <row r="329" spans="3:3" x14ac:dyDescent="0.3">
      <c r="C329" t="str">
        <f>'cor telha'!I106</f>
        <v>2400,!-Density {kg/m3}</v>
      </c>
    </row>
    <row r="330" spans="3:3" x14ac:dyDescent="0.3">
      <c r="C330" t="str">
        <f>'cor telha'!I107</f>
        <v>1000,!-Specific Heat {J/kg-K}</v>
      </c>
    </row>
    <row r="331" spans="3:3" x14ac:dyDescent="0.3">
      <c r="C331" t="str">
        <f>'cor telha'!I108</f>
        <v>0.9,!-Thermal Absorptance</v>
      </c>
    </row>
    <row r="332" spans="3:3" x14ac:dyDescent="0.3">
      <c r="C332" t="str">
        <f>'cor telha'!I109</f>
        <v>0.7,!-Solar Absorptance</v>
      </c>
    </row>
    <row r="333" spans="3:3" x14ac:dyDescent="0.3">
      <c r="C333" t="str">
        <f>'cor telha'!I110</f>
        <v>0.7;!-Visible Absorptance</v>
      </c>
    </row>
    <row r="334" spans="3:3" x14ac:dyDescent="0.3">
      <c r="C334" t="str">
        <f>'cor telha'!I111</f>
        <v/>
      </c>
    </row>
    <row r="335" spans="3:3" x14ac:dyDescent="0.3">
      <c r="C335" t="str">
        <f>'cor telha'!I112</f>
        <v>Material,</v>
      </c>
    </row>
    <row r="336" spans="3:3" x14ac:dyDescent="0.3">
      <c r="C336" t="str">
        <f>'cor telha'!I113</f>
        <v>Concreto bloco 14x19x39,!-Name</v>
      </c>
    </row>
    <row r="337" spans="3:3" x14ac:dyDescent="0.3">
      <c r="C337" t="str">
        <f>'cor telha'!I114</f>
        <v>Rough,!-Roughness</v>
      </c>
    </row>
    <row r="338" spans="3:3" x14ac:dyDescent="0.3">
      <c r="C338" t="str">
        <f>'cor telha'!I115</f>
        <v>0.03,!-Thickness {m}</v>
      </c>
    </row>
    <row r="339" spans="3:3" x14ac:dyDescent="0.3">
      <c r="C339" t="str">
        <f>'cor telha'!I116</f>
        <v>1.75,!-Conductivity {W/m-K}</v>
      </c>
    </row>
    <row r="340" spans="3:3" x14ac:dyDescent="0.3">
      <c r="C340" t="str">
        <f>'cor telha'!I117</f>
        <v>2400,!-Density {kg/m3}</v>
      </c>
    </row>
    <row r="341" spans="3:3" x14ac:dyDescent="0.3">
      <c r="C341" t="str">
        <f>'cor telha'!I118</f>
        <v>1000,!-Specific Heat {J/kg-K}</v>
      </c>
    </row>
    <row r="342" spans="3:3" x14ac:dyDescent="0.3">
      <c r="C342" t="str">
        <f>'cor telha'!I119</f>
        <v>0.9,!-Thermal Absorptance</v>
      </c>
    </row>
    <row r="343" spans="3:3" x14ac:dyDescent="0.3">
      <c r="C343" t="str">
        <f>'cor telha'!I120</f>
        <v>0.7,!-Solar Absorptance</v>
      </c>
    </row>
    <row r="344" spans="3:3" x14ac:dyDescent="0.3">
      <c r="C344" t="str">
        <f>'cor telha'!I121</f>
        <v>0.7;!-Visible Absorptance</v>
      </c>
    </row>
    <row r="345" spans="3:3" x14ac:dyDescent="0.3">
      <c r="C345" t="str">
        <f>'cor telha'!I122</f>
        <v/>
      </c>
    </row>
    <row r="346" spans="3:3" x14ac:dyDescent="0.3">
      <c r="C346" t="str">
        <f>'cor telha'!I123</f>
        <v>Material,</v>
      </c>
    </row>
    <row r="347" spans="3:3" x14ac:dyDescent="0.3">
      <c r="C347" t="str">
        <f>'cor telha'!I124</f>
        <v>Cerâmica laje tavela 24x7x20,  !- Name</v>
      </c>
    </row>
    <row r="348" spans="3:3" x14ac:dyDescent="0.3">
      <c r="C348" t="str">
        <f>'cor telha'!I125</f>
        <v>Rough,!-Roughness</v>
      </c>
    </row>
    <row r="349" spans="3:3" x14ac:dyDescent="0.3">
      <c r="C349" t="str">
        <f>'cor telha'!I126</f>
        <v>0.012,!-Thickness {m}</v>
      </c>
    </row>
    <row r="350" spans="3:3" x14ac:dyDescent="0.3">
      <c r="C350" t="str">
        <f>'cor telha'!I127</f>
        <v>1.05,!-Conductivity {W/m-K}</v>
      </c>
    </row>
    <row r="351" spans="3:3" x14ac:dyDescent="0.3">
      <c r="C351" t="str">
        <f>'cor telha'!I128</f>
        <v>2000,!-Density {kg/m3}</v>
      </c>
    </row>
    <row r="352" spans="3:3" x14ac:dyDescent="0.3">
      <c r="C352" t="str">
        <f>'cor telha'!I129</f>
        <v>920,!-Specific Heat {J/kg-K}</v>
      </c>
    </row>
    <row r="353" spans="3:3" x14ac:dyDescent="0.3">
      <c r="C353" t="str">
        <f>'cor telha'!I130</f>
        <v>0.9,!-Thermal Absorptance</v>
      </c>
    </row>
    <row r="354" spans="3:3" x14ac:dyDescent="0.3">
      <c r="C354" t="str">
        <f>'cor telha'!I131</f>
        <v>0.7,!-Solar Absorptance</v>
      </c>
    </row>
    <row r="355" spans="3:3" x14ac:dyDescent="0.3">
      <c r="C355" t="str">
        <f>'cor telha'!I132</f>
        <v>0.7;!-Visible Absorptance</v>
      </c>
    </row>
    <row r="356" spans="3:3" x14ac:dyDescent="0.3">
      <c r="C356" t="str">
        <f>'cor telha'!I133</f>
        <v/>
      </c>
    </row>
    <row r="357" spans="3:3" x14ac:dyDescent="0.3">
      <c r="C357" t="str">
        <f>'cor telha'!I134</f>
        <v>Material,</v>
      </c>
    </row>
    <row r="358" spans="3:3" x14ac:dyDescent="0.3">
      <c r="C358" t="str">
        <f>'cor telha'!I135</f>
        <v>Concreto+EPS laje tavela30x7x125,  !- Name</v>
      </c>
    </row>
    <row r="359" spans="3:3" x14ac:dyDescent="0.3">
      <c r="C359" t="str">
        <f>'cor telha'!I136</f>
        <v>Rough,!-Roughness</v>
      </c>
    </row>
    <row r="360" spans="3:3" x14ac:dyDescent="0.3">
      <c r="C360" t="str">
        <f>'cor telha'!I137</f>
        <v>0.07,!-Thickness {m}</v>
      </c>
    </row>
    <row r="361" spans="3:3" x14ac:dyDescent="0.3">
      <c r="C361" t="str">
        <f>'cor telha'!I138</f>
        <v>0.223,!-Conductivity {W/m-K}</v>
      </c>
    </row>
    <row r="362" spans="3:3" x14ac:dyDescent="0.3">
      <c r="C362" t="str">
        <f>'cor telha'!I139</f>
        <v>373,!-Density {kg/m3}</v>
      </c>
    </row>
    <row r="363" spans="3:3" x14ac:dyDescent="0.3">
      <c r="C363" t="str">
        <f>'cor telha'!I140</f>
        <v>1000,!-Specific Heat {J/kg-K}</v>
      </c>
    </row>
    <row r="364" spans="3:3" x14ac:dyDescent="0.3">
      <c r="C364" t="str">
        <f>'cor telha'!I141</f>
        <v>0.9,!-Thermal Absorptance</v>
      </c>
    </row>
    <row r="365" spans="3:3" x14ac:dyDescent="0.3">
      <c r="C365" t="str">
        <f>'cor telha'!I142</f>
        <v>0.7,!-Solar Absorptance</v>
      </c>
    </row>
    <row r="366" spans="3:3" x14ac:dyDescent="0.3">
      <c r="C366" t="str">
        <f>'cor telha'!I143</f>
        <v>0.7;!-Visible Absorptance</v>
      </c>
    </row>
    <row r="367" spans="3:3" x14ac:dyDescent="0.3">
      <c r="C367" t="str">
        <f>'cor telha'!I144</f>
        <v/>
      </c>
    </row>
    <row r="368" spans="3:3" x14ac:dyDescent="0.3">
      <c r="C368" t="str">
        <f>'cor telha'!I145</f>
        <v>Material,</v>
      </c>
    </row>
    <row r="369" spans="3:3" x14ac:dyDescent="0.3">
      <c r="C369" t="str">
        <f>'cor telha'!I146</f>
        <v>Piso cerâmico,!-Name</v>
      </c>
    </row>
    <row r="370" spans="3:3" x14ac:dyDescent="0.3">
      <c r="C370" t="str">
        <f>'cor telha'!I147</f>
        <v>Rough,!-Roughness</v>
      </c>
    </row>
    <row r="371" spans="3:3" x14ac:dyDescent="0.3">
      <c r="C371" t="str">
        <f>'cor telha'!I148</f>
        <v>0.075,!-Thickness {m}</v>
      </c>
    </row>
    <row r="372" spans="3:3" x14ac:dyDescent="0.3">
      <c r="C372" t="str">
        <f>'cor telha'!I149</f>
        <v>1.05,!-Conductivity {W/m-K}</v>
      </c>
    </row>
    <row r="373" spans="3:3" x14ac:dyDescent="0.3">
      <c r="C373" t="str">
        <f>'cor telha'!I150</f>
        <v>2000,!-Density {kg/m3}</v>
      </c>
    </row>
    <row r="374" spans="3:3" x14ac:dyDescent="0.3">
      <c r="C374" t="str">
        <f>'cor telha'!I151</f>
        <v>920,!-Specific Heat {J/kg-K}</v>
      </c>
    </row>
    <row r="375" spans="3:3" x14ac:dyDescent="0.3">
      <c r="C375" t="str">
        <f>'cor telha'!I152</f>
        <v>0.9,!-Thermal Absorptance</v>
      </c>
    </row>
    <row r="376" spans="3:3" x14ac:dyDescent="0.3">
      <c r="C376" t="str">
        <f>'cor telha'!I153</f>
        <v>0.7,!-Solar Absorptance</v>
      </c>
    </row>
    <row r="377" spans="3:3" x14ac:dyDescent="0.3">
      <c r="C377" t="str">
        <f>'cor telha'!I154</f>
        <v>0.7;!-Visible Absorptance</v>
      </c>
    </row>
    <row r="378" spans="3:3" x14ac:dyDescent="0.3">
      <c r="C378" t="str">
        <f>'cor telha'!I155</f>
        <v/>
      </c>
    </row>
    <row r="379" spans="3:3" x14ac:dyDescent="0.3">
      <c r="C379" t="str">
        <f>'cor telha'!I156</f>
        <v>Material,</v>
      </c>
    </row>
    <row r="380" spans="3:3" x14ac:dyDescent="0.3">
      <c r="C380" t="str">
        <f>'cor telha'!I157</f>
        <v>contrapiso laje 2 cm,!-Name</v>
      </c>
    </row>
    <row r="381" spans="3:3" x14ac:dyDescent="0.3">
      <c r="C381" t="str">
        <f>'cor telha'!I158</f>
        <v>Rough,!-Roughness</v>
      </c>
    </row>
    <row r="382" spans="3:3" x14ac:dyDescent="0.3">
      <c r="C382" t="str">
        <f>'cor telha'!I159</f>
        <v>0.02,!-Thickness {m}</v>
      </c>
    </row>
    <row r="383" spans="3:3" x14ac:dyDescent="0.3">
      <c r="C383" t="str">
        <f>'cor telha'!I160</f>
        <v>1.15,!-Conductivity {W/m-K}</v>
      </c>
    </row>
    <row r="384" spans="3:3" x14ac:dyDescent="0.3">
      <c r="C384" t="str">
        <f>'cor telha'!I161</f>
        <v>2000,!-Density {kg/m3}</v>
      </c>
    </row>
    <row r="385" spans="3:3" x14ac:dyDescent="0.3">
      <c r="C385" t="str">
        <f>'cor telha'!I162</f>
        <v>1000,!-Specific Heat {J/kg-K}</v>
      </c>
    </row>
    <row r="386" spans="3:3" x14ac:dyDescent="0.3">
      <c r="C386" t="str">
        <f>'cor telha'!I163</f>
        <v>0.9,!-Thermal Absorptance</v>
      </c>
    </row>
    <row r="387" spans="3:3" x14ac:dyDescent="0.3">
      <c r="C387" t="str">
        <f>'cor telha'!I164</f>
        <v>0.7,!-Solar Absorptance</v>
      </c>
    </row>
    <row r="388" spans="3:3" x14ac:dyDescent="0.3">
      <c r="C388" t="str">
        <f>'cor telha'!I165</f>
        <v>0.7;!-Visible Absorptance</v>
      </c>
    </row>
    <row r="389" spans="3:3" x14ac:dyDescent="0.3">
      <c r="C389" t="str">
        <f>'cor telha'!I166</f>
        <v/>
      </c>
    </row>
    <row r="390" spans="3:3" x14ac:dyDescent="0.3">
      <c r="C390" t="str">
        <f>'cor telha'!I167</f>
        <v>Material,</v>
      </c>
    </row>
    <row r="391" spans="3:3" x14ac:dyDescent="0.3">
      <c r="C391" t="str">
        <f>'cor telha'!I168</f>
        <v>gesso forro,!-Name</v>
      </c>
    </row>
    <row r="392" spans="3:3" x14ac:dyDescent="0.3">
      <c r="C392" t="str">
        <f>'cor telha'!I169</f>
        <v>Rough,!-Roughness</v>
      </c>
    </row>
    <row r="393" spans="3:3" x14ac:dyDescent="0.3">
      <c r="C393" t="str">
        <f>'cor telha'!I170</f>
        <v>0.01,!-Thickness {m}</v>
      </c>
    </row>
    <row r="394" spans="3:3" x14ac:dyDescent="0.3">
      <c r="C394" t="str">
        <f>'cor telha'!I171</f>
        <v>0.35,!-Conductivity {W/m-K}</v>
      </c>
    </row>
    <row r="395" spans="3:3" x14ac:dyDescent="0.3">
      <c r="C395" t="str">
        <f>'cor telha'!I172</f>
        <v>900,!-Density {kg/m3}</v>
      </c>
    </row>
    <row r="396" spans="3:3" x14ac:dyDescent="0.3">
      <c r="C396" t="str">
        <f>'cor telha'!I173</f>
        <v>870,!-Specific Heat {J/kg-K}</v>
      </c>
    </row>
    <row r="397" spans="3:3" x14ac:dyDescent="0.3">
      <c r="C397" t="str">
        <f>'cor telha'!I174</f>
        <v>0.9,!-Thermal Absorptance</v>
      </c>
    </row>
    <row r="398" spans="3:3" x14ac:dyDescent="0.3">
      <c r="C398" t="str">
        <f>'cor telha'!I175</f>
        <v>0.7,!-Solar Absorptance</v>
      </c>
    </row>
    <row r="399" spans="3:3" x14ac:dyDescent="0.3">
      <c r="C399" t="str">
        <f>'cor telha'!I176</f>
        <v>0.7;!-Visible Absorptance</v>
      </c>
    </row>
    <row r="400" spans="3:3" x14ac:dyDescent="0.3">
      <c r="C400" t="str">
        <f>'cor telha'!I177</f>
        <v/>
      </c>
    </row>
    <row r="401" spans="3:3" x14ac:dyDescent="0.3">
      <c r="C401" t="str">
        <f>'cor telha'!I178</f>
        <v>Material,</v>
      </c>
    </row>
    <row r="402" spans="3:3" x14ac:dyDescent="0.3">
      <c r="C402" t="str">
        <f>'cor telha'!I179</f>
        <v>Concreto laje nervurada c/EPS,  !- Name</v>
      </c>
    </row>
    <row r="403" spans="3:3" x14ac:dyDescent="0.3">
      <c r="C403" t="str">
        <f>'cor telha'!I180</f>
        <v>Rough,!-Roughness</v>
      </c>
    </row>
    <row r="404" spans="3:3" x14ac:dyDescent="0.3">
      <c r="C404" t="str">
        <f>'cor telha'!I181</f>
        <v>0.075,!-Thickness {m}</v>
      </c>
    </row>
    <row r="405" spans="3:3" x14ac:dyDescent="0.3">
      <c r="C405" t="str">
        <f>'cor telha'!I182</f>
        <v>1.75,!-Conductivity {W/m-K}</v>
      </c>
    </row>
    <row r="406" spans="3:3" x14ac:dyDescent="0.3">
      <c r="C406" t="str">
        <f>'cor telha'!I183</f>
        <v>2200,!-Density {kg/m3}</v>
      </c>
    </row>
    <row r="407" spans="3:3" x14ac:dyDescent="0.3">
      <c r="C407" t="str">
        <f>'cor telha'!I184</f>
        <v>1000,!-Specific Heat {J/kg-K}</v>
      </c>
    </row>
    <row r="408" spans="3:3" x14ac:dyDescent="0.3">
      <c r="C408" t="str">
        <f>'cor telha'!I185</f>
        <v>0.9,!-Thermal Absorptance</v>
      </c>
    </row>
    <row r="409" spans="3:3" x14ac:dyDescent="0.3">
      <c r="C409" t="str">
        <f>'cor telha'!I186</f>
        <v>0.7,!-Solar Absorptance</v>
      </c>
    </row>
    <row r="410" spans="3:3" x14ac:dyDescent="0.3">
      <c r="C410" t="str">
        <f>'cor telha'!I187</f>
        <v>0.7;!-Visible Absorptance</v>
      </c>
    </row>
    <row r="411" spans="3:3" x14ac:dyDescent="0.3">
      <c r="C411" t="str">
        <f>'cor telha'!I188</f>
        <v/>
      </c>
    </row>
    <row r="412" spans="3:3" x14ac:dyDescent="0.3">
      <c r="C412" t="str">
        <f>'cor telha'!I189</f>
        <v>Material,</v>
      </c>
    </row>
    <row r="413" spans="3:3" x14ac:dyDescent="0.3">
      <c r="C413" t="str">
        <f>'cor telha'!I190</f>
        <v>argamassa laje pré-moldada,!- Name</v>
      </c>
    </row>
    <row r="414" spans="3:3" x14ac:dyDescent="0.3">
      <c r="C414" t="str">
        <f>'cor telha'!I191</f>
        <v>Rough,!-Roughness</v>
      </c>
    </row>
    <row r="415" spans="3:3" x14ac:dyDescent="0.3">
      <c r="C415" t="str">
        <f>'cor telha'!I192</f>
        <v>0.01,!-Thickness {m}</v>
      </c>
    </row>
    <row r="416" spans="3:3" x14ac:dyDescent="0.3">
      <c r="C416" t="str">
        <f>'cor telha'!I193</f>
        <v>1.15,!-Conductivity {W/m-K}</v>
      </c>
    </row>
    <row r="417" spans="3:3" x14ac:dyDescent="0.3">
      <c r="C417" t="str">
        <f>'cor telha'!I194</f>
        <v>2000,!-Density {kg/m3}</v>
      </c>
    </row>
    <row r="418" spans="3:3" x14ac:dyDescent="0.3">
      <c r="C418" t="str">
        <f>'cor telha'!I195</f>
        <v>1000,!-Specific Heat {J/kg-K}</v>
      </c>
    </row>
    <row r="419" spans="3:3" x14ac:dyDescent="0.3">
      <c r="C419" t="str">
        <f>'cor telha'!I196</f>
        <v>0.9,!-Thermal Absorptance</v>
      </c>
    </row>
    <row r="420" spans="3:3" x14ac:dyDescent="0.3">
      <c r="C420" t="str">
        <f>'cor telha'!I197</f>
        <v>0.7,!-Solar Absorptance</v>
      </c>
    </row>
    <row r="421" spans="3:3" x14ac:dyDescent="0.3">
      <c r="C421" t="str">
        <f>'cor telha'!I198</f>
        <v>0.7;!-Visible Absorptance</v>
      </c>
    </row>
    <row r="422" spans="3:3" x14ac:dyDescent="0.3">
      <c r="C422" t="str">
        <f>'cor telha'!I199</f>
        <v/>
      </c>
    </row>
    <row r="423" spans="3:3" x14ac:dyDescent="0.3">
      <c r="C423" t="str">
        <f>'cor telha'!I200</f>
        <v>Material,</v>
      </c>
    </row>
    <row r="424" spans="3:3" x14ac:dyDescent="0.3">
      <c r="C424" t="str">
        <f>'cor telha'!I201</f>
        <v>EPS mais concreto laje nervurada,  !- Name</v>
      </c>
    </row>
    <row r="425" spans="3:3" x14ac:dyDescent="0.3">
      <c r="C425" t="str">
        <f>'cor telha'!I202</f>
        <v>Rough,!-Roughness</v>
      </c>
    </row>
    <row r="426" spans="3:3" x14ac:dyDescent="0.3">
      <c r="C426" t="str">
        <f>'cor telha'!I203</f>
        <v>0.15,!-Thickness {m}</v>
      </c>
    </row>
    <row r="427" spans="3:3" x14ac:dyDescent="0.3">
      <c r="C427" t="str">
        <f>'cor telha'!I204</f>
        <v>0.287,!-Conductivity {W/m-K}</v>
      </c>
    </row>
    <row r="428" spans="3:3" x14ac:dyDescent="0.3">
      <c r="C428" t="str">
        <f>'cor telha'!I205</f>
        <v>401,!-Density {kg/m3}</v>
      </c>
    </row>
    <row r="429" spans="3:3" x14ac:dyDescent="0.3">
      <c r="C429" t="str">
        <f>'cor telha'!I206</f>
        <v>1000,!-Specific Heat {J/kg-K}</v>
      </c>
    </row>
    <row r="430" spans="3:3" x14ac:dyDescent="0.3">
      <c r="C430" t="str">
        <f>'cor telha'!I207</f>
        <v>0.9,!-Thermal Absorptance</v>
      </c>
    </row>
    <row r="431" spans="3:3" x14ac:dyDescent="0.3">
      <c r="C431" t="str">
        <f>'cor telha'!I208</f>
        <v>0.7,!-Solar Absorptance</v>
      </c>
    </row>
    <row r="432" spans="3:3" x14ac:dyDescent="0.3">
      <c r="C432" t="str">
        <f>'cor telha'!I209</f>
        <v>0.7;!-Visible Absorptance</v>
      </c>
    </row>
    <row r="433" spans="3:3" x14ac:dyDescent="0.3">
      <c r="C433" t="str">
        <f>'cor telha'!I210</f>
        <v/>
      </c>
    </row>
    <row r="434" spans="3:3" x14ac:dyDescent="0.3">
      <c r="C434" t="str">
        <f>'cor telha'!I211</f>
        <v>Material,</v>
      </c>
    </row>
    <row r="435" spans="3:3" x14ac:dyDescent="0.3">
      <c r="C435" t="str">
        <f>'cor telha'!I212</f>
        <v>Concreto laje alveolar,!-Name</v>
      </c>
    </row>
    <row r="436" spans="3:3" x14ac:dyDescent="0.3">
      <c r="C436" t="str">
        <f>'cor telha'!I213</f>
        <v>Rough,!-Roughness</v>
      </c>
    </row>
    <row r="437" spans="3:3" x14ac:dyDescent="0.3">
      <c r="C437" t="str">
        <f>'cor telha'!I214</f>
        <v>0.05,!-Thickness {m}</v>
      </c>
    </row>
    <row r="438" spans="3:3" x14ac:dyDescent="0.3">
      <c r="C438" t="str">
        <f>'cor telha'!I215</f>
        <v>1.15,!-Conductivity {W/m-K}</v>
      </c>
    </row>
    <row r="439" spans="3:3" x14ac:dyDescent="0.3">
      <c r="C439" t="str">
        <f>'cor telha'!I216</f>
        <v>2200,!-Density {kg/m3}</v>
      </c>
    </row>
    <row r="440" spans="3:3" x14ac:dyDescent="0.3">
      <c r="C440" t="str">
        <f>'cor telha'!I217</f>
        <v>1000,!-Specific Heat {J/kg-K}</v>
      </c>
    </row>
    <row r="441" spans="3:3" x14ac:dyDescent="0.3">
      <c r="C441" t="str">
        <f>'cor telha'!I218</f>
        <v>0.9,!-Thermal Absorptance</v>
      </c>
    </row>
    <row r="442" spans="3:3" x14ac:dyDescent="0.3">
      <c r="C442" t="str">
        <f>'cor telha'!I219</f>
        <v>0.7,!-Solar Absorptance</v>
      </c>
    </row>
    <row r="443" spans="3:3" x14ac:dyDescent="0.3">
      <c r="C443" t="str">
        <f>'cor telha'!I220</f>
        <v>0.7;!-Visible Absorptance</v>
      </c>
    </row>
    <row r="444" spans="3:3" x14ac:dyDescent="0.3">
      <c r="C444" t="str">
        <f>'cor telha'!I221</f>
        <v/>
      </c>
    </row>
    <row r="445" spans="3:3" x14ac:dyDescent="0.3">
      <c r="C445" t="str">
        <f>'cor telha'!I222</f>
        <v>Material,</v>
      </c>
    </row>
    <row r="446" spans="3:3" x14ac:dyDescent="0.3">
      <c r="C446" t="str">
        <f>'cor telha'!I223</f>
        <v>Concreto laje maciça,!-Name</v>
      </c>
    </row>
    <row r="447" spans="3:3" x14ac:dyDescent="0.3">
      <c r="C447" t="str">
        <f>'cor telha'!I224</f>
        <v>Rough,!-Roughness</v>
      </c>
    </row>
    <row r="448" spans="3:3" x14ac:dyDescent="0.3">
      <c r="C448" t="str">
        <f>'cor telha'!I225</f>
        <v>0.1,!-Thickness {m}</v>
      </c>
    </row>
    <row r="449" spans="3:3" x14ac:dyDescent="0.3">
      <c r="C449" t="str">
        <f>'cor telha'!I226</f>
        <v>1.15,!-Conductivity {W/m-K}</v>
      </c>
    </row>
    <row r="450" spans="3:3" x14ac:dyDescent="0.3">
      <c r="C450" t="str">
        <f>'cor telha'!I227</f>
        <v>2200,!-Density {kg/m3}</v>
      </c>
    </row>
    <row r="451" spans="3:3" x14ac:dyDescent="0.3">
      <c r="C451" t="str">
        <f>'cor telha'!I228</f>
        <v>1000,!-Specific Heat {J/kg-K}</v>
      </c>
    </row>
    <row r="452" spans="3:3" x14ac:dyDescent="0.3">
      <c r="C452" t="str">
        <f>'cor telha'!I229</f>
        <v>0.9,!-Thermal Absorptance</v>
      </c>
    </row>
    <row r="453" spans="3:3" x14ac:dyDescent="0.3">
      <c r="C453" t="str">
        <f>'cor telha'!I230</f>
        <v>0.7,!-Solar Absorptance</v>
      </c>
    </row>
    <row r="454" spans="3:3" x14ac:dyDescent="0.3">
      <c r="C454" t="str">
        <f>'cor telha'!I231</f>
        <v>0.7;!-Visible Absorptance</v>
      </c>
    </row>
    <row r="455" spans="3:3" x14ac:dyDescent="0.3">
      <c r="C455" t="str">
        <f>'cor telha'!I232</f>
        <v/>
      </c>
    </row>
    <row r="456" spans="3:3" x14ac:dyDescent="0.3">
      <c r="C456" t="str">
        <f>'cor telha'!I233</f>
        <v>Material,</v>
      </c>
    </row>
    <row r="457" spans="3:3" x14ac:dyDescent="0.3">
      <c r="C457" t="str">
        <f>'cor telha'!I234</f>
        <v>Cêramica telha pre-moldada1,  !- Name</v>
      </c>
    </row>
    <row r="458" spans="3:3" x14ac:dyDescent="0.3">
      <c r="C458" t="str">
        <f>'cor telha'!I235</f>
        <v>Rough,!-Roughness</v>
      </c>
    </row>
    <row r="459" spans="3:3" x14ac:dyDescent="0.3">
      <c r="C459" t="str">
        <f>'cor telha'!I236</f>
        <v>0.01,!-Thickness {m}</v>
      </c>
    </row>
    <row r="460" spans="3:3" x14ac:dyDescent="0.3">
      <c r="C460" t="str">
        <f>'cor telha'!I237</f>
        <v>1.05,!-Conductivity {W/m-K}</v>
      </c>
    </row>
    <row r="461" spans="3:3" x14ac:dyDescent="0.3">
      <c r="C461" t="str">
        <f>'cor telha'!I238</f>
        <v>2000,!-Density {kg/m3}</v>
      </c>
    </row>
    <row r="462" spans="3:3" x14ac:dyDescent="0.3">
      <c r="C462" t="str">
        <f>'cor telha'!I239</f>
        <v>920,!-Specific Heat {J/kg-K}</v>
      </c>
    </row>
    <row r="463" spans="3:3" x14ac:dyDescent="0.3">
      <c r="C463" t="str">
        <f>'cor telha'!I240</f>
        <v>0.3,!-Thermal Absorptance</v>
      </c>
    </row>
    <row r="464" spans="3:3" x14ac:dyDescent="0.3">
      <c r="C464" t="str">
        <f>'cor telha'!I241</f>
        <v>0.7,!-Solar Absorptance</v>
      </c>
    </row>
    <row r="465" spans="3:3" x14ac:dyDescent="0.3">
      <c r="C465" t="str">
        <f>'cor telha'!I242</f>
        <v>0.7;!-Visible Absorptance</v>
      </c>
    </row>
    <row r="466" spans="3:3" x14ac:dyDescent="0.3">
      <c r="C466" t="str">
        <f>'cor telha'!I243</f>
        <v/>
      </c>
    </row>
    <row r="467" spans="3:3" x14ac:dyDescent="0.3">
      <c r="C467" t="str">
        <f>'cor telha'!I244</f>
        <v>Material,</v>
      </c>
    </row>
    <row r="468" spans="3:3" x14ac:dyDescent="0.3">
      <c r="C468" t="str">
        <f>'cor telha'!I245</f>
        <v>fibrocimento telha,!-Name</v>
      </c>
    </row>
    <row r="469" spans="3:3" x14ac:dyDescent="0.3">
      <c r="C469" t="str">
        <f>'cor telha'!I246</f>
        <v>Rough,!-Roughness</v>
      </c>
    </row>
    <row r="470" spans="3:3" x14ac:dyDescent="0.3">
      <c r="C470" t="str">
        <f>'cor telha'!I247</f>
        <v>0.08,!-Thickness {m}</v>
      </c>
    </row>
    <row r="471" spans="3:3" x14ac:dyDescent="0.3">
      <c r="C471" t="str">
        <f>'cor telha'!I248</f>
        <v>0.95,!-Conductivity {W/m-K}</v>
      </c>
    </row>
    <row r="472" spans="3:3" x14ac:dyDescent="0.3">
      <c r="C472" t="str">
        <f>'cor telha'!I249</f>
        <v>1900,!-Density {kg/m3}</v>
      </c>
    </row>
    <row r="473" spans="3:3" x14ac:dyDescent="0.3">
      <c r="C473" t="str">
        <f>'cor telha'!I250</f>
        <v>840,!-Specific Heat {J/kg-K}</v>
      </c>
    </row>
    <row r="474" spans="3:3" x14ac:dyDescent="0.3">
      <c r="C474" t="str">
        <f>'cor telha'!I251</f>
        <v>0.3,!-Thermal Absorptance</v>
      </c>
    </row>
    <row r="475" spans="3:3" x14ac:dyDescent="0.3">
      <c r="C475" t="str">
        <f>'cor telha'!I252</f>
        <v>0.7,!-Solar Absorptance</v>
      </c>
    </row>
    <row r="476" spans="3:3" x14ac:dyDescent="0.3">
      <c r="C476" t="str">
        <f>'cor telha'!I253</f>
        <v>0.7;!-Visible Absorptance</v>
      </c>
    </row>
    <row r="477" spans="3:3" x14ac:dyDescent="0.3">
      <c r="C477" t="str">
        <f>'cor telha'!I254</f>
        <v/>
      </c>
    </row>
    <row r="478" spans="3:3" x14ac:dyDescent="0.3">
      <c r="C478" t="str">
        <f>'cor telha'!I255</f>
        <v>Material,</v>
      </c>
    </row>
    <row r="479" spans="3:3" x14ac:dyDescent="0.3">
      <c r="C479" t="str">
        <f>'cor telha'!I256</f>
        <v>PVC forro,!-Name</v>
      </c>
    </row>
    <row r="480" spans="3:3" x14ac:dyDescent="0.3">
      <c r="C480" t="str">
        <f>'cor telha'!I257</f>
        <v>Rough,!-Roughness</v>
      </c>
    </row>
    <row r="481" spans="3:3" x14ac:dyDescent="0.3">
      <c r="C481" t="str">
        <f>'cor telha'!I258</f>
        <v>0.01,!-Thickness {m}</v>
      </c>
    </row>
    <row r="482" spans="3:3" x14ac:dyDescent="0.3">
      <c r="C482" t="str">
        <f>'cor telha'!I259</f>
        <v>0.071,!-Conductivity {W/m-K}</v>
      </c>
    </row>
    <row r="483" spans="3:3" x14ac:dyDescent="0.3">
      <c r="C483" t="str">
        <f>'cor telha'!I260</f>
        <v>273,!-Density {kg/m3}</v>
      </c>
    </row>
    <row r="484" spans="3:3" x14ac:dyDescent="0.3">
      <c r="C484" t="str">
        <f>'cor telha'!I261</f>
        <v>960,!-Specific Heat {J/kg-K}</v>
      </c>
    </row>
    <row r="485" spans="3:3" x14ac:dyDescent="0.3">
      <c r="C485" t="str">
        <f>'cor telha'!I262</f>
        <v>0.9,!-Thermal Absorptance</v>
      </c>
    </row>
    <row r="486" spans="3:3" x14ac:dyDescent="0.3">
      <c r="C486" t="str">
        <f>'cor telha'!I263</f>
        <v>0.7,!-Solar Absorptance</v>
      </c>
    </row>
    <row r="487" spans="3:3" x14ac:dyDescent="0.3">
      <c r="C487" t="str">
        <f>'cor telha'!I264</f>
        <v>0.7;!-Visible Absorptance</v>
      </c>
    </row>
    <row r="488" spans="3:3" x14ac:dyDescent="0.3">
      <c r="C488" t="str">
        <f>'cor telha'!I265</f>
        <v/>
      </c>
    </row>
    <row r="489" spans="3:3" x14ac:dyDescent="0.3">
      <c r="C489" t="str">
        <f>'cor telha'!I266</f>
        <v>Material,</v>
      </c>
    </row>
    <row r="490" spans="3:3" x14ac:dyDescent="0.3">
      <c r="C490" t="str">
        <f>'cor telha'!I267</f>
        <v>Madeira forro,!-Name</v>
      </c>
    </row>
    <row r="491" spans="3:3" x14ac:dyDescent="0.3">
      <c r="C491" t="str">
        <f>'cor telha'!I268</f>
        <v>Rough,!-Roughness</v>
      </c>
    </row>
    <row r="492" spans="3:3" x14ac:dyDescent="0.3">
      <c r="C492" t="str">
        <f>'cor telha'!I269</f>
        <v>0.01,!-Thickness {m}</v>
      </c>
    </row>
    <row r="493" spans="3:3" x14ac:dyDescent="0.3">
      <c r="C493" t="str">
        <f>'cor telha'!I270</f>
        <v>0.15,!-Conductivity {W/m-K}</v>
      </c>
    </row>
    <row r="494" spans="3:3" x14ac:dyDescent="0.3">
      <c r="C494" t="str">
        <f>'cor telha'!I271</f>
        <v>600,!-Density {kg/m3}</v>
      </c>
    </row>
    <row r="495" spans="3:3" x14ac:dyDescent="0.3">
      <c r="C495" t="str">
        <f>'cor telha'!I272</f>
        <v>1340,!-Specific Heat {J/kg-K}</v>
      </c>
    </row>
    <row r="496" spans="3:3" x14ac:dyDescent="0.3">
      <c r="C496" t="str">
        <f>'cor telha'!I273</f>
        <v>0.9,!-Thermal Absorptance</v>
      </c>
    </row>
    <row r="497" spans="3:3" x14ac:dyDescent="0.3">
      <c r="C497" t="str">
        <f>'cor telha'!I274</f>
        <v>0.7,!-Solar Absorptance</v>
      </c>
    </row>
    <row r="498" spans="3:3" x14ac:dyDescent="0.3">
      <c r="C498" t="str">
        <f>'cor telha'!I275</f>
        <v>0.7;!-Visible Absorptance</v>
      </c>
    </row>
    <row r="499" spans="3:3" x14ac:dyDescent="0.3">
      <c r="C499" t="str">
        <f>'cor telha'!I276</f>
        <v/>
      </c>
    </row>
    <row r="500" spans="3:3" x14ac:dyDescent="0.3">
      <c r="C500" t="str">
        <f>'cor telha'!I277</f>
        <v>Material,</v>
      </c>
    </row>
    <row r="501" spans="3:3" x14ac:dyDescent="0.3">
      <c r="C501" t="str">
        <f>'cor telha'!I278</f>
        <v>gesso forro laje nervurada,!- Name</v>
      </c>
    </row>
    <row r="502" spans="3:3" x14ac:dyDescent="0.3">
      <c r="C502" t="str">
        <f>'cor telha'!I279</f>
        <v>Rough,!-Roughness</v>
      </c>
    </row>
    <row r="503" spans="3:3" x14ac:dyDescent="0.3">
      <c r="C503" t="str">
        <f>'cor telha'!I280</f>
        <v>0.01,!-Thickness {m}</v>
      </c>
    </row>
    <row r="504" spans="3:3" x14ac:dyDescent="0.3">
      <c r="C504" t="str">
        <f>'cor telha'!I281</f>
        <v>0.35,!-Conductivity {W/m-K}</v>
      </c>
    </row>
    <row r="505" spans="3:3" x14ac:dyDescent="0.3">
      <c r="C505" t="str">
        <f>'cor telha'!I282</f>
        <v>900,!-Density {kg/m3}</v>
      </c>
    </row>
    <row r="506" spans="3:3" x14ac:dyDescent="0.3">
      <c r="C506" t="str">
        <f>'cor telha'!I283</f>
        <v>870,!-Specific Heat {J/kg-K}</v>
      </c>
    </row>
    <row r="507" spans="3:3" x14ac:dyDescent="0.3">
      <c r="C507" t="str">
        <f>'cor telha'!I284</f>
        <v>0.9,!-Thermal Absorptance</v>
      </c>
    </row>
    <row r="508" spans="3:3" x14ac:dyDescent="0.3">
      <c r="C508" t="str">
        <f>'cor telha'!I285</f>
        <v>0.7,!-Solar Absorptance</v>
      </c>
    </row>
    <row r="509" spans="3:3" x14ac:dyDescent="0.3">
      <c r="C509" t="str">
        <f>'cor telha'!I286</f>
        <v>0.7;!-Visible Absorptance</v>
      </c>
    </row>
    <row r="510" spans="3:3" x14ac:dyDescent="0.3">
      <c r="C510" t="str">
        <f>'cor telha'!I287</f>
        <v/>
      </c>
    </row>
    <row r="511" spans="3:3" x14ac:dyDescent="0.3">
      <c r="C511" t="str">
        <f>'cor telha'!I288</f>
        <v>Material,</v>
      </c>
    </row>
    <row r="512" spans="3:3" x14ac:dyDescent="0.3">
      <c r="C512" t="str">
        <f>'cor telha'!I289</f>
        <v>Concreto laje pre moldada,!- Name</v>
      </c>
    </row>
    <row r="513" spans="3:3" x14ac:dyDescent="0.3">
      <c r="C513" t="str">
        <f>'cor telha'!I290</f>
        <v>Rough,!-Roughness</v>
      </c>
    </row>
    <row r="514" spans="3:3" x14ac:dyDescent="0.3">
      <c r="C514" t="str">
        <f>'cor telha'!I291</f>
        <v>0.04,!-Thickness {m}</v>
      </c>
    </row>
    <row r="515" spans="3:3" x14ac:dyDescent="0.3">
      <c r="C515" t="str">
        <f>'cor telha'!I292</f>
        <v>1.75,!-Conductivity {W/m-K}</v>
      </c>
    </row>
    <row r="516" spans="3:3" x14ac:dyDescent="0.3">
      <c r="C516" t="str">
        <f>'cor telha'!I293</f>
        <v>2200,!-Density {kg/m3}</v>
      </c>
    </row>
    <row r="517" spans="3:3" x14ac:dyDescent="0.3">
      <c r="C517" t="str">
        <f>'cor telha'!I294</f>
        <v>1000,!-Specific Heat {J/kg-K}</v>
      </c>
    </row>
    <row r="518" spans="3:3" x14ac:dyDescent="0.3">
      <c r="C518" t="str">
        <f>'cor telha'!I295</f>
        <v>0.9,!-Thermal Absorptance</v>
      </c>
    </row>
    <row r="519" spans="3:3" x14ac:dyDescent="0.3">
      <c r="C519" t="str">
        <f>'cor telha'!I296</f>
        <v>0.7,!-Solar Absorptance</v>
      </c>
    </row>
    <row r="520" spans="3:3" x14ac:dyDescent="0.3">
      <c r="C520" t="str">
        <f>'cor telha'!I297</f>
        <v>0.7;!-Visible Absorptance</v>
      </c>
    </row>
    <row r="521" spans="3:3" x14ac:dyDescent="0.3">
      <c r="C521" t="str">
        <f>'cor telha'!I298</f>
        <v/>
      </c>
    </row>
    <row r="522" spans="3:3" x14ac:dyDescent="0.3">
      <c r="C522" t="str">
        <f>'cor telha'!I299</f>
        <v>Material,</v>
      </c>
    </row>
    <row r="523" spans="3:3" x14ac:dyDescent="0.3">
      <c r="C523" t="str">
        <f>'cor telha'!I300</f>
        <v>Concreto laje nervurada c/câmara de ar,  !- Name</v>
      </c>
    </row>
    <row r="524" spans="3:3" x14ac:dyDescent="0.3">
      <c r="C524" t="str">
        <f>'cor telha'!I301</f>
        <v>Rough,!-Roughness</v>
      </c>
    </row>
    <row r="525" spans="3:3" x14ac:dyDescent="0.3">
      <c r="C525" t="str">
        <f>'cor telha'!I302</f>
        <v>0.0985,!-Thickness {m}</v>
      </c>
    </row>
    <row r="526" spans="3:3" x14ac:dyDescent="0.3">
      <c r="C526" t="str">
        <f>'cor telha'!I303</f>
        <v>1.75,!-Conductivity {W/m-K}</v>
      </c>
    </row>
    <row r="527" spans="3:3" x14ac:dyDescent="0.3">
      <c r="C527" t="str">
        <f>'cor telha'!I304</f>
        <v>2200,!-Density {kg/m3}</v>
      </c>
    </row>
    <row r="528" spans="3:3" x14ac:dyDescent="0.3">
      <c r="C528" t="str">
        <f>'cor telha'!I305</f>
        <v>1000,!-Specific Heat {J/kg-K}</v>
      </c>
    </row>
    <row r="529" spans="3:3" x14ac:dyDescent="0.3">
      <c r="C529" t="str">
        <f>'cor telha'!I306</f>
        <v>0.9,!-Thermal Absorptance</v>
      </c>
    </row>
    <row r="530" spans="3:3" x14ac:dyDescent="0.3">
      <c r="C530" t="str">
        <f>'cor telha'!I307</f>
        <v>0.7,!-Solar Absorptance</v>
      </c>
    </row>
    <row r="531" spans="3:3" x14ac:dyDescent="0.3">
      <c r="C531" t="str">
        <f>'cor telha'!I308</f>
        <v>0.7;!-Visible Absorptance</v>
      </c>
    </row>
    <row r="532" spans="3:3" x14ac:dyDescent="0.3">
      <c r="C532" t="str">
        <f>'cor telha'!I309</f>
        <v/>
      </c>
    </row>
    <row r="533" spans="3:3" x14ac:dyDescent="0.3">
      <c r="C533" t="str">
        <f>'cor telha'!I310</f>
        <v>Material,</v>
      </c>
    </row>
    <row r="534" spans="3:3" x14ac:dyDescent="0.3">
      <c r="C534" t="str">
        <f>'cor telha'!I311</f>
        <v>argamassa externa,!-Name</v>
      </c>
    </row>
    <row r="535" spans="3:3" x14ac:dyDescent="0.3">
      <c r="C535" t="str">
        <f>'cor telha'!I312</f>
        <v>Rough,!-Roughness</v>
      </c>
    </row>
    <row r="536" spans="3:3" x14ac:dyDescent="0.3">
      <c r="C536" t="str">
        <f>'cor telha'!I313</f>
        <v>0.025,!-Thickness {m}</v>
      </c>
    </row>
    <row r="537" spans="3:3" x14ac:dyDescent="0.3">
      <c r="C537" t="str">
        <f>'cor telha'!I314</f>
        <v>1.15,!-Conductivity {W/m-K}</v>
      </c>
    </row>
    <row r="538" spans="3:3" x14ac:dyDescent="0.3">
      <c r="C538" t="str">
        <f>'cor telha'!I315</f>
        <v>2000,!-Density {kg/m3}</v>
      </c>
    </row>
    <row r="539" spans="3:3" x14ac:dyDescent="0.3">
      <c r="C539" t="str">
        <f>'cor telha'!I316</f>
        <v>1000,!-Specific Heat {J/kg-K}</v>
      </c>
    </row>
    <row r="540" spans="3:3" x14ac:dyDescent="0.3">
      <c r="C540" t="str">
        <f>'cor telha'!I317</f>
        <v>0.9,!-Thermal Absorptance</v>
      </c>
    </row>
    <row r="541" spans="3:3" x14ac:dyDescent="0.3">
      <c r="C541" t="str">
        <f>'cor telha'!I318</f>
        <v>0.7,!-Solar Absorptance</v>
      </c>
    </row>
    <row r="542" spans="3:3" x14ac:dyDescent="0.3">
      <c r="C542" t="str">
        <f>'cor telha'!I319</f>
        <v>0.7;!-Visible Absorptance</v>
      </c>
    </row>
    <row r="543" spans="3:3" x14ac:dyDescent="0.3">
      <c r="C543" t="str">
        <f>'cor telha'!I320</f>
        <v/>
      </c>
    </row>
    <row r="544" spans="3:3" x14ac:dyDescent="0.3">
      <c r="C544" t="str">
        <f>'cor telha'!I321</f>
        <v>Material,</v>
      </c>
    </row>
    <row r="545" spans="3:3" x14ac:dyDescent="0.3">
      <c r="C545" t="str">
        <f>'cor telha'!I322</f>
        <v>Cerâmica tijolo 14x9x24,!-Name</v>
      </c>
    </row>
    <row r="546" spans="3:3" x14ac:dyDescent="0.3">
      <c r="C546" t="str">
        <f>'cor telha'!I323</f>
        <v>Rough,!-Roughness</v>
      </c>
    </row>
    <row r="547" spans="3:3" x14ac:dyDescent="0.3">
      <c r="C547" t="str">
        <f>'cor telha'!I324</f>
        <v>0.019,!-Thickness {m}</v>
      </c>
    </row>
    <row r="548" spans="3:3" x14ac:dyDescent="0.3">
      <c r="C548" t="str">
        <f>'cor telha'!I325</f>
        <v>0.9,!-Conductivity {W/m-K}</v>
      </c>
    </row>
    <row r="549" spans="3:3" x14ac:dyDescent="0.3">
      <c r="C549" t="str">
        <f>'cor telha'!I326</f>
        <v>1600,!-Density {kg/m3}</v>
      </c>
    </row>
    <row r="550" spans="3:3" x14ac:dyDescent="0.3">
      <c r="C550" t="str">
        <f>'cor telha'!I327</f>
        <v>920,!-Specific Heat {J/kg-K}</v>
      </c>
    </row>
    <row r="551" spans="3:3" x14ac:dyDescent="0.3">
      <c r="C551" t="str">
        <f>'cor telha'!I328</f>
        <v>0.9,!-Thermal Absorptance</v>
      </c>
    </row>
    <row r="552" spans="3:3" x14ac:dyDescent="0.3">
      <c r="C552" t="str">
        <f>'cor telha'!I329</f>
        <v>0.7,!-Solar Absorptance</v>
      </c>
    </row>
    <row r="553" spans="3:3" x14ac:dyDescent="0.3">
      <c r="C553" t="str">
        <f>'cor telha'!I330</f>
        <v>0.7;!-Visible Absorptance</v>
      </c>
    </row>
    <row r="554" spans="3:3" x14ac:dyDescent="0.3">
      <c r="C554" t="str">
        <f>'cor telha'!I331</f>
        <v/>
      </c>
    </row>
    <row r="555" spans="3:3" x14ac:dyDescent="0.3">
      <c r="C555" t="str">
        <f>'cor telha'!I332</f>
        <v>Material,</v>
      </c>
    </row>
    <row r="556" spans="3:3" x14ac:dyDescent="0.3">
      <c r="C556" t="str">
        <f>'cor telha'!I333</f>
        <v>contrapiso laje 5 cm,!-Name</v>
      </c>
    </row>
    <row r="557" spans="3:3" x14ac:dyDescent="0.3">
      <c r="C557" t="str">
        <f>'cor telha'!I334</f>
        <v>Rough,!-Roughness</v>
      </c>
    </row>
    <row r="558" spans="3:3" x14ac:dyDescent="0.3">
      <c r="C558" t="str">
        <f>'cor telha'!I335</f>
        <v>0.02,!-Thickness {m}</v>
      </c>
    </row>
    <row r="559" spans="3:3" x14ac:dyDescent="0.3">
      <c r="C559" t="str">
        <f>'cor telha'!I336</f>
        <v>1.15,!-Conductivity {W/m-K}</v>
      </c>
    </row>
    <row r="560" spans="3:3" x14ac:dyDescent="0.3">
      <c r="C560" t="str">
        <f>'cor telha'!I337</f>
        <v>2000,!-Density {kg/m3}</v>
      </c>
    </row>
    <row r="561" spans="3:3" x14ac:dyDescent="0.3">
      <c r="C561" t="str">
        <f>'cor telha'!I338</f>
        <v>1000,!-Specific Heat {J/kg-K}</v>
      </c>
    </row>
    <row r="562" spans="3:3" x14ac:dyDescent="0.3">
      <c r="C562" t="str">
        <f>'cor telha'!I339</f>
        <v>0.9,!-Thermal Absorptance</v>
      </c>
    </row>
    <row r="563" spans="3:3" x14ac:dyDescent="0.3">
      <c r="C563" t="str">
        <f>'cor telha'!I340</f>
        <v>0.7,!-Solar Absorptance</v>
      </c>
    </row>
    <row r="564" spans="3:3" x14ac:dyDescent="0.3">
      <c r="C564" t="str">
        <f>'cor telha'!I341</f>
        <v>0.7;!-Visible Absorptance</v>
      </c>
    </row>
    <row r="565" spans="3:3" x14ac:dyDescent="0.3">
      <c r="C565" t="str">
        <f>'cor telha'!I342</f>
        <v/>
      </c>
    </row>
    <row r="566" spans="3:3" x14ac:dyDescent="0.3">
      <c r="C566" t="str">
        <f>'cor telha'!I343</f>
        <v>Material,</v>
      </c>
    </row>
    <row r="567" spans="3:3" x14ac:dyDescent="0.3">
      <c r="C567" t="str">
        <f>'cor telha'!I344</f>
        <v>Madeira,!-Name</v>
      </c>
    </row>
    <row r="568" spans="3:3" x14ac:dyDescent="0.3">
      <c r="C568" t="str">
        <f>'cor telha'!I345</f>
        <v>MediumRough,!-Roughness</v>
      </c>
    </row>
    <row r="569" spans="3:3" x14ac:dyDescent="0.3">
      <c r="C569" t="str">
        <f>'cor telha'!I346</f>
        <v>0.035,!-Thickness {m}</v>
      </c>
    </row>
    <row r="570" spans="3:3" x14ac:dyDescent="0.3">
      <c r="C570" t="str">
        <f>'cor telha'!I347</f>
        <v>0.15,!-Conductivity {W/m-K}</v>
      </c>
    </row>
    <row r="571" spans="3:3" x14ac:dyDescent="0.3">
      <c r="C571" t="str">
        <f>'cor telha'!I348</f>
        <v>600,!-Density {kg/m3}</v>
      </c>
    </row>
    <row r="572" spans="3:3" x14ac:dyDescent="0.3">
      <c r="C572" t="str">
        <f>'cor telha'!I349</f>
        <v>1340,!-Specific Heat {J/kg-K}</v>
      </c>
    </row>
    <row r="573" spans="3:3" x14ac:dyDescent="0.3">
      <c r="C573" t="str">
        <f>'cor telha'!I350</f>
        <v>0.7,!-Thermal Absorptance</v>
      </c>
    </row>
    <row r="574" spans="3:3" x14ac:dyDescent="0.3">
      <c r="C574" t="str">
        <f>'cor telha'!I351</f>
        <v>0.7,!-Solar Absorptance</v>
      </c>
    </row>
    <row r="575" spans="3:3" x14ac:dyDescent="0.3">
      <c r="C575" t="str">
        <f>'cor telha'!I352</f>
        <v>0.7;!-Visible Absorptance</v>
      </c>
    </row>
    <row r="576" spans="3:3" x14ac:dyDescent="0.3">
      <c r="C576" t="str">
        <f>'cor telha'!I353</f>
        <v/>
      </c>
    </row>
    <row r="577" spans="3:3" x14ac:dyDescent="0.3">
      <c r="C577" t="str">
        <f>'cor telha'!I354</f>
        <v>Material,</v>
      </c>
    </row>
    <row r="578" spans="3:3" x14ac:dyDescent="0.3">
      <c r="C578" t="str">
        <f>'cor telha'!I355</f>
        <v>Aco,!-Name</v>
      </c>
    </row>
    <row r="579" spans="3:3" x14ac:dyDescent="0.3">
      <c r="C579" t="str">
        <f>'cor telha'!I356</f>
        <v>Smooth,!-Roughness</v>
      </c>
    </row>
    <row r="580" spans="3:3" x14ac:dyDescent="0.3">
      <c r="C580" t="str">
        <f>'cor telha'!I357</f>
        <v>0.08,!-Thickness {m}</v>
      </c>
    </row>
    <row r="581" spans="3:3" x14ac:dyDescent="0.3">
      <c r="C581" t="str">
        <f>'cor telha'!I358</f>
        <v>55,!-Conductivity {W/m-K}</v>
      </c>
    </row>
    <row r="582" spans="3:3" x14ac:dyDescent="0.3">
      <c r="C582" t="str">
        <f>'cor telha'!I359</f>
        <v>7800,!-Density {kg/m3}</v>
      </c>
    </row>
    <row r="583" spans="3:3" x14ac:dyDescent="0.3">
      <c r="C583" t="str">
        <f>'cor telha'!I360</f>
        <v>460,!-Specific Heat {J/kg-K}</v>
      </c>
    </row>
    <row r="584" spans="3:3" x14ac:dyDescent="0.3">
      <c r="C584" t="str">
        <f>'cor telha'!I361</f>
        <v>0.25,!-Thermal Absorptance</v>
      </c>
    </row>
    <row r="585" spans="3:3" x14ac:dyDescent="0.3">
      <c r="C585" t="str">
        <f>'cor telha'!I362</f>
        <v>0.25,!-Solar Absorptance</v>
      </c>
    </row>
    <row r="586" spans="3:3" x14ac:dyDescent="0.3">
      <c r="C586" t="str">
        <f>'cor telha'!I363</f>
        <v>0.25;!-Visible Absorptance</v>
      </c>
    </row>
    <row r="589" spans="3:3" x14ac:dyDescent="0.3">
      <c r="C589" t="s">
        <v>20</v>
      </c>
    </row>
    <row r="591" spans="3:3" x14ac:dyDescent="0.3">
      <c r="C591" t="s">
        <v>551</v>
      </c>
    </row>
    <row r="592" spans="3:3" x14ac:dyDescent="0.3">
      <c r="C592" t="s">
        <v>552</v>
      </c>
    </row>
    <row r="593" spans="3:3" x14ac:dyDescent="0.3">
      <c r="C593" t="s">
        <v>550</v>
      </c>
    </row>
    <row r="594" spans="3:3" x14ac:dyDescent="0.3">
      <c r="C594" t="s">
        <v>553</v>
      </c>
    </row>
    <row r="595" spans="3:3" x14ac:dyDescent="0.3">
      <c r="C595" t="s">
        <v>547</v>
      </c>
    </row>
    <row r="596" spans="3:3" x14ac:dyDescent="0.3">
      <c r="C596" t="s">
        <v>548</v>
      </c>
    </row>
    <row r="597" spans="3:3" x14ac:dyDescent="0.3">
      <c r="C597" t="s">
        <v>549</v>
      </c>
    </row>
    <row r="599" spans="3:3" x14ac:dyDescent="0.3">
      <c r="C599" t="s">
        <v>551</v>
      </c>
    </row>
    <row r="600" spans="3:3" x14ac:dyDescent="0.3">
      <c r="C600" t="s">
        <v>554</v>
      </c>
    </row>
    <row r="601" spans="3:3" x14ac:dyDescent="0.3">
      <c r="C601" t="s">
        <v>550</v>
      </c>
    </row>
    <row r="602" spans="3:3" x14ac:dyDescent="0.3">
      <c r="C602" t="s">
        <v>555</v>
      </c>
    </row>
    <row r="603" spans="3:3" x14ac:dyDescent="0.3">
      <c r="C603" t="s">
        <v>547</v>
      </c>
    </row>
    <row r="604" spans="3:3" x14ac:dyDescent="0.3">
      <c r="C604" t="s">
        <v>548</v>
      </c>
    </row>
    <row r="605" spans="3:3" x14ac:dyDescent="0.3">
      <c r="C605" t="s">
        <v>549</v>
      </c>
    </row>
    <row r="608" spans="3:3" x14ac:dyDescent="0.3">
      <c r="C608" t="s">
        <v>34</v>
      </c>
    </row>
    <row r="610" spans="3:3" x14ac:dyDescent="0.3">
      <c r="C610" t="s">
        <v>556</v>
      </c>
    </row>
    <row r="611" spans="3:3" x14ac:dyDescent="0.3">
      <c r="C611" t="s">
        <v>557</v>
      </c>
    </row>
    <row r="612" spans="3:3" x14ac:dyDescent="0.3">
      <c r="C612" t="s">
        <v>558</v>
      </c>
    </row>
    <row r="614" spans="3:3" x14ac:dyDescent="0.3">
      <c r="C614" t="s">
        <v>556</v>
      </c>
    </row>
    <row r="615" spans="3:3" x14ac:dyDescent="0.3">
      <c r="C615" t="s">
        <v>559</v>
      </c>
    </row>
    <row r="616" spans="3:3" x14ac:dyDescent="0.3">
      <c r="C616" t="s">
        <v>560</v>
      </c>
    </row>
    <row r="618" spans="3:3" x14ac:dyDescent="0.3">
      <c r="C618" t="s">
        <v>556</v>
      </c>
    </row>
    <row r="619" spans="3:3" x14ac:dyDescent="0.3">
      <c r="C619" t="s">
        <v>561</v>
      </c>
    </row>
    <row r="620" spans="3:3" x14ac:dyDescent="0.3">
      <c r="C620" t="s">
        <v>562</v>
      </c>
    </row>
    <row r="622" spans="3:3" x14ac:dyDescent="0.3">
      <c r="C622" t="s">
        <v>556</v>
      </c>
    </row>
    <row r="623" spans="3:3" x14ac:dyDescent="0.3">
      <c r="C623" t="s">
        <v>563</v>
      </c>
    </row>
    <row r="624" spans="3:3" x14ac:dyDescent="0.3">
      <c r="C624" t="s">
        <v>564</v>
      </c>
    </row>
    <row r="626" spans="3:3" x14ac:dyDescent="0.3">
      <c r="C626" t="s">
        <v>556</v>
      </c>
    </row>
    <row r="627" spans="3:3" x14ac:dyDescent="0.3">
      <c r="C627" t="s">
        <v>565</v>
      </c>
    </row>
    <row r="628" spans="3:3" x14ac:dyDescent="0.3">
      <c r="C628" t="s">
        <v>566</v>
      </c>
    </row>
    <row r="630" spans="3:3" x14ac:dyDescent="0.3">
      <c r="C630" t="s">
        <v>556</v>
      </c>
    </row>
    <row r="631" spans="3:3" x14ac:dyDescent="0.3">
      <c r="C631" t="s">
        <v>567</v>
      </c>
    </row>
    <row r="632" spans="3:3" x14ac:dyDescent="0.3">
      <c r="C632" t="s">
        <v>568</v>
      </c>
    </row>
    <row r="634" spans="3:3" x14ac:dyDescent="0.3">
      <c r="C634" t="s">
        <v>556</v>
      </c>
    </row>
    <row r="635" spans="3:3" x14ac:dyDescent="0.3">
      <c r="C635" t="s">
        <v>569</v>
      </c>
    </row>
    <row r="636" spans="3:3" x14ac:dyDescent="0.3">
      <c r="C636" t="s">
        <v>570</v>
      </c>
    </row>
    <row r="638" spans="3:3" x14ac:dyDescent="0.3">
      <c r="C638" t="s">
        <v>556</v>
      </c>
    </row>
    <row r="639" spans="3:3" x14ac:dyDescent="0.3">
      <c r="C639" t="s">
        <v>571</v>
      </c>
    </row>
    <row r="640" spans="3:3" x14ac:dyDescent="0.3">
      <c r="C640" t="s">
        <v>572</v>
      </c>
    </row>
    <row r="642" spans="3:3" x14ac:dyDescent="0.3">
      <c r="C642" t="s">
        <v>556</v>
      </c>
    </row>
    <row r="643" spans="3:3" x14ac:dyDescent="0.3">
      <c r="C643" t="s">
        <v>573</v>
      </c>
    </row>
    <row r="644" spans="3:3" x14ac:dyDescent="0.3">
      <c r="C644" t="s">
        <v>574</v>
      </c>
    </row>
    <row r="646" spans="3:3" x14ac:dyDescent="0.3">
      <c r="C646" t="s">
        <v>556</v>
      </c>
    </row>
    <row r="647" spans="3:3" x14ac:dyDescent="0.3">
      <c r="C647" t="s">
        <v>575</v>
      </c>
    </row>
    <row r="648" spans="3:3" x14ac:dyDescent="0.3">
      <c r="C648" t="s">
        <v>576</v>
      </c>
    </row>
    <row r="650" spans="3:3" x14ac:dyDescent="0.3">
      <c r="C650" t="s">
        <v>556</v>
      </c>
    </row>
    <row r="651" spans="3:3" x14ac:dyDescent="0.3">
      <c r="C651" t="s">
        <v>577</v>
      </c>
    </row>
    <row r="652" spans="3:3" x14ac:dyDescent="0.3">
      <c r="C652" t="s">
        <v>572</v>
      </c>
    </row>
    <row r="654" spans="3:3" x14ac:dyDescent="0.3">
      <c r="C654" t="s">
        <v>556</v>
      </c>
    </row>
    <row r="655" spans="3:3" x14ac:dyDescent="0.3">
      <c r="C655" t="s">
        <v>578</v>
      </c>
    </row>
    <row r="656" spans="3:3" x14ac:dyDescent="0.3">
      <c r="C656" t="s">
        <v>564</v>
      </c>
    </row>
    <row r="658" spans="3:3" x14ac:dyDescent="0.3">
      <c r="C658" t="s">
        <v>556</v>
      </c>
    </row>
    <row r="659" spans="3:3" x14ac:dyDescent="0.3">
      <c r="C659" t="s">
        <v>579</v>
      </c>
    </row>
    <row r="660" spans="3:3" x14ac:dyDescent="0.3">
      <c r="C660" t="s">
        <v>566</v>
      </c>
    </row>
    <row r="662" spans="3:3" x14ac:dyDescent="0.3">
      <c r="C662" t="s">
        <v>556</v>
      </c>
    </row>
    <row r="663" spans="3:3" x14ac:dyDescent="0.3">
      <c r="C663" t="s">
        <v>580</v>
      </c>
    </row>
    <row r="664" spans="3:3" x14ac:dyDescent="0.3">
      <c r="C664" t="s">
        <v>581</v>
      </c>
    </row>
    <row r="666" spans="3:3" x14ac:dyDescent="0.3">
      <c r="C666" t="s">
        <v>556</v>
      </c>
    </row>
    <row r="667" spans="3:3" x14ac:dyDescent="0.3">
      <c r="C667" t="s">
        <v>582</v>
      </c>
    </row>
    <row r="668" spans="3:3" x14ac:dyDescent="0.3">
      <c r="C668" t="s">
        <v>583</v>
      </c>
    </row>
    <row r="670" spans="3:3" x14ac:dyDescent="0.3">
      <c r="C670" t="s">
        <v>556</v>
      </c>
    </row>
    <row r="671" spans="3:3" x14ac:dyDescent="0.3">
      <c r="C671" t="s">
        <v>584</v>
      </c>
    </row>
    <row r="672" spans="3:3" x14ac:dyDescent="0.3">
      <c r="C672" t="s">
        <v>585</v>
      </c>
    </row>
    <row r="674" spans="3:3" x14ac:dyDescent="0.3">
      <c r="C674" t="s">
        <v>556</v>
      </c>
    </row>
    <row r="675" spans="3:3" x14ac:dyDescent="0.3">
      <c r="C675" t="s">
        <v>586</v>
      </c>
    </row>
    <row r="676" spans="3:3" x14ac:dyDescent="0.3">
      <c r="C676" t="s">
        <v>587</v>
      </c>
    </row>
    <row r="678" spans="3:3" x14ac:dyDescent="0.3">
      <c r="C678" t="s">
        <v>556</v>
      </c>
    </row>
    <row r="679" spans="3:3" x14ac:dyDescent="0.3">
      <c r="C679" t="s">
        <v>588</v>
      </c>
    </row>
    <row r="680" spans="3:3" x14ac:dyDescent="0.3">
      <c r="C680" t="s">
        <v>589</v>
      </c>
    </row>
    <row r="682" spans="3:3" x14ac:dyDescent="0.3">
      <c r="C682" t="s">
        <v>556</v>
      </c>
    </row>
    <row r="683" spans="3:3" x14ac:dyDescent="0.3">
      <c r="C683" t="s">
        <v>590</v>
      </c>
    </row>
    <row r="684" spans="3:3" x14ac:dyDescent="0.3">
      <c r="C684" t="s">
        <v>591</v>
      </c>
    </row>
    <row r="686" spans="3:3" x14ac:dyDescent="0.3">
      <c r="C686" t="s">
        <v>556</v>
      </c>
    </row>
    <row r="687" spans="3:3" x14ac:dyDescent="0.3">
      <c r="C687" t="s">
        <v>592</v>
      </c>
    </row>
    <row r="688" spans="3:3" x14ac:dyDescent="0.3">
      <c r="C688" t="s">
        <v>593</v>
      </c>
    </row>
    <row r="690" spans="3:3" x14ac:dyDescent="0.3">
      <c r="C690" t="s">
        <v>556</v>
      </c>
    </row>
    <row r="691" spans="3:3" x14ac:dyDescent="0.3">
      <c r="C691" t="s">
        <v>594</v>
      </c>
    </row>
    <row r="692" spans="3:3" x14ac:dyDescent="0.3">
      <c r="C692" t="s">
        <v>595</v>
      </c>
    </row>
    <row r="694" spans="3:3" x14ac:dyDescent="0.3">
      <c r="C694" t="s">
        <v>556</v>
      </c>
    </row>
    <row r="695" spans="3:3" x14ac:dyDescent="0.3">
      <c r="C695" t="s">
        <v>596</v>
      </c>
    </row>
    <row r="696" spans="3:3" x14ac:dyDescent="0.3">
      <c r="C696" t="s">
        <v>597</v>
      </c>
    </row>
    <row r="698" spans="3:3" x14ac:dyDescent="0.3">
      <c r="C698" t="s">
        <v>556</v>
      </c>
    </row>
    <row r="699" spans="3:3" x14ac:dyDescent="0.3">
      <c r="C699" t="s">
        <v>598</v>
      </c>
    </row>
    <row r="700" spans="3:3" x14ac:dyDescent="0.3">
      <c r="C700" t="s">
        <v>599</v>
      </c>
    </row>
    <row r="702" spans="3:3" x14ac:dyDescent="0.3">
      <c r="C702" t="s">
        <v>556</v>
      </c>
    </row>
    <row r="703" spans="3:3" x14ac:dyDescent="0.3">
      <c r="C703" t="s">
        <v>600</v>
      </c>
    </row>
    <row r="704" spans="3:3" x14ac:dyDescent="0.3">
      <c r="C704" t="s">
        <v>601</v>
      </c>
    </row>
    <row r="706" spans="3:3" x14ac:dyDescent="0.3">
      <c r="C706" t="s">
        <v>556</v>
      </c>
    </row>
    <row r="707" spans="3:3" x14ac:dyDescent="0.3">
      <c r="C707" t="s">
        <v>602</v>
      </c>
    </row>
    <row r="708" spans="3:3" x14ac:dyDescent="0.3">
      <c r="C708" t="s">
        <v>603</v>
      </c>
    </row>
    <row r="710" spans="3:3" x14ac:dyDescent="0.3">
      <c r="C710" t="s">
        <v>556</v>
      </c>
    </row>
    <row r="711" spans="3:3" x14ac:dyDescent="0.3">
      <c r="C711" t="s">
        <v>604</v>
      </c>
    </row>
    <row r="712" spans="3:3" x14ac:dyDescent="0.3">
      <c r="C712" t="s">
        <v>605</v>
      </c>
    </row>
    <row r="714" spans="3:3" x14ac:dyDescent="0.3">
      <c r="C714" t="s">
        <v>556</v>
      </c>
    </row>
    <row r="715" spans="3:3" x14ac:dyDescent="0.3">
      <c r="C715" t="s">
        <v>606</v>
      </c>
    </row>
    <row r="716" spans="3:3" x14ac:dyDescent="0.3">
      <c r="C716" t="s">
        <v>601</v>
      </c>
    </row>
    <row r="718" spans="3:3" x14ac:dyDescent="0.3">
      <c r="C718" t="s">
        <v>556</v>
      </c>
    </row>
    <row r="719" spans="3:3" x14ac:dyDescent="0.3">
      <c r="C719" t="s">
        <v>607</v>
      </c>
    </row>
    <row r="720" spans="3:3" x14ac:dyDescent="0.3">
      <c r="C720" t="s">
        <v>608</v>
      </c>
    </row>
    <row r="722" spans="3:3" x14ac:dyDescent="0.3">
      <c r="C722" t="s">
        <v>556</v>
      </c>
    </row>
    <row r="723" spans="3:3" x14ac:dyDescent="0.3">
      <c r="C723" t="s">
        <v>609</v>
      </c>
    </row>
    <row r="724" spans="3:3" x14ac:dyDescent="0.3">
      <c r="C724" t="s">
        <v>603</v>
      </c>
    </row>
    <row r="726" spans="3:3" x14ac:dyDescent="0.3">
      <c r="C726" t="s">
        <v>556</v>
      </c>
    </row>
    <row r="727" spans="3:3" x14ac:dyDescent="0.3">
      <c r="C727" t="s">
        <v>610</v>
      </c>
    </row>
    <row r="728" spans="3:3" x14ac:dyDescent="0.3">
      <c r="C728" t="s">
        <v>605</v>
      </c>
    </row>
    <row r="730" spans="3:3" x14ac:dyDescent="0.3">
      <c r="C730" t="s">
        <v>556</v>
      </c>
    </row>
    <row r="731" spans="3:3" x14ac:dyDescent="0.3">
      <c r="C731" t="s">
        <v>611</v>
      </c>
    </row>
    <row r="732" spans="3:3" x14ac:dyDescent="0.3">
      <c r="C732" t="s">
        <v>612</v>
      </c>
    </row>
    <row r="734" spans="3:3" x14ac:dyDescent="0.3">
      <c r="C734" t="s">
        <v>556</v>
      </c>
    </row>
    <row r="735" spans="3:3" x14ac:dyDescent="0.3">
      <c r="C735" t="s">
        <v>613</v>
      </c>
    </row>
    <row r="736" spans="3:3" x14ac:dyDescent="0.3">
      <c r="C736" t="s">
        <v>564</v>
      </c>
    </row>
    <row r="738" spans="3:3" x14ac:dyDescent="0.3">
      <c r="C738" t="s">
        <v>556</v>
      </c>
    </row>
    <row r="739" spans="3:3" x14ac:dyDescent="0.3">
      <c r="C739" t="s">
        <v>614</v>
      </c>
    </row>
    <row r="740" spans="3:3" x14ac:dyDescent="0.3">
      <c r="C740" t="s">
        <v>608</v>
      </c>
    </row>
    <row r="742" spans="3:3" x14ac:dyDescent="0.3">
      <c r="C742" t="s">
        <v>556</v>
      </c>
    </row>
    <row r="743" spans="3:3" x14ac:dyDescent="0.3">
      <c r="C743" t="s">
        <v>615</v>
      </c>
    </row>
    <row r="744" spans="3:3" x14ac:dyDescent="0.3">
      <c r="C744" t="s">
        <v>603</v>
      </c>
    </row>
    <row r="746" spans="3:3" x14ac:dyDescent="0.3">
      <c r="C746" t="s">
        <v>556</v>
      </c>
    </row>
    <row r="747" spans="3:3" x14ac:dyDescent="0.3">
      <c r="C747" t="s">
        <v>616</v>
      </c>
    </row>
    <row r="748" spans="3:3" x14ac:dyDescent="0.3">
      <c r="C748" t="s">
        <v>564</v>
      </c>
    </row>
    <row r="750" spans="3:3" x14ac:dyDescent="0.3">
      <c r="C750" t="s">
        <v>556</v>
      </c>
    </row>
    <row r="751" spans="3:3" x14ac:dyDescent="0.3">
      <c r="C751" t="s">
        <v>617</v>
      </c>
    </row>
    <row r="752" spans="3:3" x14ac:dyDescent="0.3">
      <c r="C752" t="s">
        <v>618</v>
      </c>
    </row>
    <row r="754" spans="3:3" x14ac:dyDescent="0.3">
      <c r="C754" t="s">
        <v>556</v>
      </c>
    </row>
    <row r="755" spans="3:3" x14ac:dyDescent="0.3">
      <c r="C755" t="s">
        <v>619</v>
      </c>
    </row>
    <row r="756" spans="3:3" x14ac:dyDescent="0.3">
      <c r="C756" t="s">
        <v>601</v>
      </c>
    </row>
    <row r="758" spans="3:3" x14ac:dyDescent="0.3">
      <c r="C758" t="s">
        <v>556</v>
      </c>
    </row>
    <row r="759" spans="3:3" x14ac:dyDescent="0.3">
      <c r="C759" t="s">
        <v>620</v>
      </c>
    </row>
    <row r="760" spans="3:3" x14ac:dyDescent="0.3">
      <c r="C760" t="s">
        <v>621</v>
      </c>
    </row>
    <row r="762" spans="3:3" x14ac:dyDescent="0.3">
      <c r="C762" t="s">
        <v>556</v>
      </c>
    </row>
    <row r="763" spans="3:3" x14ac:dyDescent="0.3">
      <c r="C763" t="s">
        <v>622</v>
      </c>
    </row>
    <row r="764" spans="3:3" x14ac:dyDescent="0.3">
      <c r="C764" t="s">
        <v>623</v>
      </c>
    </row>
    <row r="766" spans="3:3" x14ac:dyDescent="0.3">
      <c r="C766" t="s">
        <v>556</v>
      </c>
    </row>
    <row r="767" spans="3:3" x14ac:dyDescent="0.3">
      <c r="C767" t="s">
        <v>624</v>
      </c>
    </row>
    <row r="768" spans="3:3" x14ac:dyDescent="0.3">
      <c r="C768" t="s">
        <v>625</v>
      </c>
    </row>
    <row r="770" spans="3:3" x14ac:dyDescent="0.3">
      <c r="C770" t="s">
        <v>556</v>
      </c>
    </row>
    <row r="771" spans="3:3" x14ac:dyDescent="0.3">
      <c r="C771" t="s">
        <v>626</v>
      </c>
    </row>
    <row r="772" spans="3:3" x14ac:dyDescent="0.3">
      <c r="C772" t="s">
        <v>627</v>
      </c>
    </row>
    <row r="774" spans="3:3" x14ac:dyDescent="0.3">
      <c r="C774" t="s">
        <v>556</v>
      </c>
    </row>
    <row r="775" spans="3:3" x14ac:dyDescent="0.3">
      <c r="C775" t="s">
        <v>628</v>
      </c>
    </row>
    <row r="776" spans="3:3" x14ac:dyDescent="0.3">
      <c r="C776" t="s">
        <v>629</v>
      </c>
    </row>
    <row r="778" spans="3:3" x14ac:dyDescent="0.3">
      <c r="C778" t="s">
        <v>556</v>
      </c>
    </row>
    <row r="779" spans="3:3" x14ac:dyDescent="0.3">
      <c r="C779" t="s">
        <v>630</v>
      </c>
    </row>
    <row r="780" spans="3:3" x14ac:dyDescent="0.3">
      <c r="C780" t="s">
        <v>631</v>
      </c>
    </row>
    <row r="782" spans="3:3" x14ac:dyDescent="0.3">
      <c r="C782" t="s">
        <v>556</v>
      </c>
    </row>
    <row r="783" spans="3:3" x14ac:dyDescent="0.3">
      <c r="C783" t="s">
        <v>632</v>
      </c>
    </row>
    <row r="784" spans="3:3" x14ac:dyDescent="0.3">
      <c r="C784" t="s">
        <v>633</v>
      </c>
    </row>
    <row r="786" spans="3:3" x14ac:dyDescent="0.3">
      <c r="C786" t="s">
        <v>556</v>
      </c>
    </row>
    <row r="787" spans="3:3" x14ac:dyDescent="0.3">
      <c r="C787" t="s">
        <v>634</v>
      </c>
    </row>
    <row r="788" spans="3:3" x14ac:dyDescent="0.3">
      <c r="C788" t="s">
        <v>635</v>
      </c>
    </row>
    <row r="790" spans="3:3" x14ac:dyDescent="0.3">
      <c r="C790" t="s">
        <v>556</v>
      </c>
    </row>
    <row r="791" spans="3:3" x14ac:dyDescent="0.3">
      <c r="C791" t="s">
        <v>636</v>
      </c>
    </row>
    <row r="792" spans="3:3" x14ac:dyDescent="0.3">
      <c r="C792" t="s">
        <v>635</v>
      </c>
    </row>
    <row r="795" spans="3:3" x14ac:dyDescent="0.3">
      <c r="C795" t="s">
        <v>35</v>
      </c>
    </row>
    <row r="797" spans="3:3" x14ac:dyDescent="0.3">
      <c r="C797" t="s">
        <v>637</v>
      </c>
    </row>
    <row r="798" spans="3:3" x14ac:dyDescent="0.3">
      <c r="C798" t="s">
        <v>638</v>
      </c>
    </row>
    <row r="799" spans="3:3" x14ac:dyDescent="0.3">
      <c r="C799" t="s">
        <v>639</v>
      </c>
    </row>
    <row r="800" spans="3:3" x14ac:dyDescent="0.3">
      <c r="C800" t="s">
        <v>640</v>
      </c>
    </row>
    <row r="801" spans="3:3" x14ac:dyDescent="0.3">
      <c r="C801" t="s">
        <v>641</v>
      </c>
    </row>
    <row r="802" spans="3:3" x14ac:dyDescent="0.3">
      <c r="C802" t="s">
        <v>642</v>
      </c>
    </row>
    <row r="803" spans="3:3" x14ac:dyDescent="0.3">
      <c r="C803" t="s">
        <v>643</v>
      </c>
    </row>
    <row r="804" spans="3:3" x14ac:dyDescent="0.3">
      <c r="C804" t="s">
        <v>644</v>
      </c>
    </row>
    <row r="805" spans="3:3" x14ac:dyDescent="0.3">
      <c r="C805" t="s">
        <v>645</v>
      </c>
    </row>
    <row r="806" spans="3:3" x14ac:dyDescent="0.3">
      <c r="C806" t="s">
        <v>646</v>
      </c>
    </row>
    <row r="807" spans="3:3" x14ac:dyDescent="0.3">
      <c r="C807" t="s">
        <v>647</v>
      </c>
    </row>
    <row r="808" spans="3:3" x14ac:dyDescent="0.3">
      <c r="C808" t="s">
        <v>648</v>
      </c>
    </row>
    <row r="809" spans="3:3" x14ac:dyDescent="0.3">
      <c r="C809" t="s">
        <v>649</v>
      </c>
    </row>
    <row r="810" spans="3:3" x14ac:dyDescent="0.3">
      <c r="C810" t="s">
        <v>650</v>
      </c>
    </row>
    <row r="811" spans="3:3" x14ac:dyDescent="0.3">
      <c r="C811" t="s">
        <v>546</v>
      </c>
    </row>
    <row r="812" spans="3:3" x14ac:dyDescent="0.3">
      <c r="C812" t="s">
        <v>651</v>
      </c>
    </row>
    <row r="813" spans="3:3" x14ac:dyDescent="0.3">
      <c r="C813" t="s">
        <v>652</v>
      </c>
    </row>
    <row r="815" spans="3:3" x14ac:dyDescent="0.3">
      <c r="C815" t="s">
        <v>637</v>
      </c>
    </row>
    <row r="816" spans="3:3" x14ac:dyDescent="0.3">
      <c r="C816" t="s">
        <v>653</v>
      </c>
    </row>
    <row r="817" spans="3:3" x14ac:dyDescent="0.3">
      <c r="C817" t="s">
        <v>639</v>
      </c>
    </row>
    <row r="818" spans="3:3" x14ac:dyDescent="0.3">
      <c r="C818" t="s">
        <v>640</v>
      </c>
    </row>
    <row r="819" spans="3:3" x14ac:dyDescent="0.3">
      <c r="C819" t="s">
        <v>641</v>
      </c>
    </row>
    <row r="820" spans="3:3" x14ac:dyDescent="0.3">
      <c r="C820" t="s">
        <v>654</v>
      </c>
    </row>
    <row r="821" spans="3:3" x14ac:dyDescent="0.3">
      <c r="C821" t="s">
        <v>655</v>
      </c>
    </row>
    <row r="822" spans="3:3" x14ac:dyDescent="0.3">
      <c r="C822" t="s">
        <v>644</v>
      </c>
    </row>
    <row r="823" spans="3:3" x14ac:dyDescent="0.3">
      <c r="C823" t="s">
        <v>656</v>
      </c>
    </row>
    <row r="824" spans="3:3" x14ac:dyDescent="0.3">
      <c r="C824" t="s">
        <v>657</v>
      </c>
    </row>
    <row r="825" spans="3:3" x14ac:dyDescent="0.3">
      <c r="C825" t="s">
        <v>647</v>
      </c>
    </row>
    <row r="826" spans="3:3" x14ac:dyDescent="0.3">
      <c r="C826" t="s">
        <v>648</v>
      </c>
    </row>
    <row r="827" spans="3:3" x14ac:dyDescent="0.3">
      <c r="C827" t="s">
        <v>658</v>
      </c>
    </row>
    <row r="828" spans="3:3" x14ac:dyDescent="0.3">
      <c r="C828" t="s">
        <v>659</v>
      </c>
    </row>
    <row r="829" spans="3:3" x14ac:dyDescent="0.3">
      <c r="C829" t="s">
        <v>660</v>
      </c>
    </row>
    <row r="830" spans="3:3" x14ac:dyDescent="0.3">
      <c r="C830" t="s">
        <v>651</v>
      </c>
    </row>
    <row r="831" spans="3:3" x14ac:dyDescent="0.3">
      <c r="C831" t="s">
        <v>652</v>
      </c>
    </row>
    <row r="833" spans="3:3" x14ac:dyDescent="0.3">
      <c r="C833" t="s">
        <v>637</v>
      </c>
    </row>
    <row r="834" spans="3:3" x14ac:dyDescent="0.3">
      <c r="C834" t="s">
        <v>661</v>
      </c>
    </row>
    <row r="835" spans="3:3" x14ac:dyDescent="0.3">
      <c r="C835" t="s">
        <v>639</v>
      </c>
    </row>
    <row r="836" spans="3:3" x14ac:dyDescent="0.3">
      <c r="C836" t="s">
        <v>640</v>
      </c>
    </row>
    <row r="837" spans="3:3" x14ac:dyDescent="0.3">
      <c r="C837" t="s">
        <v>641</v>
      </c>
    </row>
    <row r="838" spans="3:3" x14ac:dyDescent="0.3">
      <c r="C838" t="s">
        <v>662</v>
      </c>
    </row>
    <row r="839" spans="3:3" x14ac:dyDescent="0.3">
      <c r="C839" t="s">
        <v>663</v>
      </c>
    </row>
    <row r="840" spans="3:3" x14ac:dyDescent="0.3">
      <c r="C840" t="s">
        <v>644</v>
      </c>
    </row>
    <row r="841" spans="3:3" x14ac:dyDescent="0.3">
      <c r="C841" t="s">
        <v>656</v>
      </c>
    </row>
    <row r="842" spans="3:3" x14ac:dyDescent="0.3">
      <c r="C842" t="s">
        <v>657</v>
      </c>
    </row>
    <row r="843" spans="3:3" x14ac:dyDescent="0.3">
      <c r="C843" t="s">
        <v>647</v>
      </c>
    </row>
    <row r="844" spans="3:3" x14ac:dyDescent="0.3">
      <c r="C844" t="s">
        <v>648</v>
      </c>
    </row>
    <row r="845" spans="3:3" x14ac:dyDescent="0.3">
      <c r="C845" t="s">
        <v>664</v>
      </c>
    </row>
    <row r="846" spans="3:3" x14ac:dyDescent="0.3">
      <c r="C846" t="s">
        <v>665</v>
      </c>
    </row>
    <row r="847" spans="3:3" x14ac:dyDescent="0.3">
      <c r="C847" t="s">
        <v>666</v>
      </c>
    </row>
    <row r="848" spans="3:3" x14ac:dyDescent="0.3">
      <c r="C848" t="s">
        <v>651</v>
      </c>
    </row>
    <row r="849" spans="3:3" x14ac:dyDescent="0.3">
      <c r="C849" t="s">
        <v>652</v>
      </c>
    </row>
    <row r="851" spans="3:3" x14ac:dyDescent="0.3">
      <c r="C851" t="s">
        <v>637</v>
      </c>
    </row>
    <row r="852" spans="3:3" x14ac:dyDescent="0.3">
      <c r="C852" t="s">
        <v>667</v>
      </c>
    </row>
    <row r="853" spans="3:3" x14ac:dyDescent="0.3">
      <c r="C853" t="s">
        <v>639</v>
      </c>
    </row>
    <row r="854" spans="3:3" x14ac:dyDescent="0.3">
      <c r="C854" t="s">
        <v>640</v>
      </c>
    </row>
    <row r="855" spans="3:3" x14ac:dyDescent="0.3">
      <c r="C855" t="s">
        <v>641</v>
      </c>
    </row>
    <row r="856" spans="3:3" x14ac:dyDescent="0.3">
      <c r="C856" t="s">
        <v>668</v>
      </c>
    </row>
    <row r="857" spans="3:3" x14ac:dyDescent="0.3">
      <c r="C857" t="s">
        <v>669</v>
      </c>
    </row>
    <row r="858" spans="3:3" x14ac:dyDescent="0.3">
      <c r="C858" t="s">
        <v>644</v>
      </c>
    </row>
    <row r="859" spans="3:3" x14ac:dyDescent="0.3">
      <c r="C859" t="s">
        <v>670</v>
      </c>
    </row>
    <row r="860" spans="3:3" x14ac:dyDescent="0.3">
      <c r="C860" t="s">
        <v>671</v>
      </c>
    </row>
    <row r="861" spans="3:3" x14ac:dyDescent="0.3">
      <c r="C861" t="s">
        <v>647</v>
      </c>
    </row>
    <row r="862" spans="3:3" x14ac:dyDescent="0.3">
      <c r="C862" t="s">
        <v>648</v>
      </c>
    </row>
    <row r="863" spans="3:3" x14ac:dyDescent="0.3">
      <c r="C863" t="s">
        <v>664</v>
      </c>
    </row>
    <row r="864" spans="3:3" x14ac:dyDescent="0.3">
      <c r="C864" t="s">
        <v>665</v>
      </c>
    </row>
    <row r="865" spans="3:3" x14ac:dyDescent="0.3">
      <c r="C865" t="s">
        <v>672</v>
      </c>
    </row>
    <row r="866" spans="3:3" x14ac:dyDescent="0.3">
      <c r="C866" t="s">
        <v>651</v>
      </c>
    </row>
    <row r="867" spans="3:3" x14ac:dyDescent="0.3">
      <c r="C867" t="s">
        <v>652</v>
      </c>
    </row>
    <row r="869" spans="3:3" x14ac:dyDescent="0.3">
      <c r="C869" t="s">
        <v>637</v>
      </c>
    </row>
    <row r="870" spans="3:3" x14ac:dyDescent="0.3">
      <c r="C870" t="s">
        <v>673</v>
      </c>
    </row>
    <row r="871" spans="3:3" x14ac:dyDescent="0.3">
      <c r="C871" t="s">
        <v>639</v>
      </c>
    </row>
    <row r="872" spans="3:3" x14ac:dyDescent="0.3">
      <c r="C872" t="s">
        <v>640</v>
      </c>
    </row>
    <row r="873" spans="3:3" x14ac:dyDescent="0.3">
      <c r="C873" t="s">
        <v>641</v>
      </c>
    </row>
    <row r="874" spans="3:3" x14ac:dyDescent="0.3">
      <c r="C874" t="s">
        <v>674</v>
      </c>
    </row>
    <row r="875" spans="3:3" x14ac:dyDescent="0.3">
      <c r="C875" t="s">
        <v>675</v>
      </c>
    </row>
    <row r="876" spans="3:3" x14ac:dyDescent="0.3">
      <c r="C876" t="s">
        <v>644</v>
      </c>
    </row>
    <row r="877" spans="3:3" x14ac:dyDescent="0.3">
      <c r="C877" t="s">
        <v>676</v>
      </c>
    </row>
    <row r="878" spans="3:3" x14ac:dyDescent="0.3">
      <c r="C878" t="s">
        <v>677</v>
      </c>
    </row>
    <row r="879" spans="3:3" x14ac:dyDescent="0.3">
      <c r="C879" t="s">
        <v>647</v>
      </c>
    </row>
    <row r="880" spans="3:3" x14ac:dyDescent="0.3">
      <c r="C880" t="s">
        <v>648</v>
      </c>
    </row>
    <row r="881" spans="3:3" x14ac:dyDescent="0.3">
      <c r="C881" t="s">
        <v>664</v>
      </c>
    </row>
    <row r="882" spans="3:3" x14ac:dyDescent="0.3">
      <c r="C882" t="s">
        <v>665</v>
      </c>
    </row>
    <row r="883" spans="3:3" x14ac:dyDescent="0.3">
      <c r="C883" t="s">
        <v>678</v>
      </c>
    </row>
    <row r="884" spans="3:3" x14ac:dyDescent="0.3">
      <c r="C884" t="s">
        <v>651</v>
      </c>
    </row>
    <row r="885" spans="3:3" x14ac:dyDescent="0.3">
      <c r="C885" t="s">
        <v>652</v>
      </c>
    </row>
    <row r="887" spans="3:3" x14ac:dyDescent="0.3">
      <c r="C887" t="s">
        <v>637</v>
      </c>
    </row>
    <row r="888" spans="3:3" x14ac:dyDescent="0.3">
      <c r="C888" t="s">
        <v>679</v>
      </c>
    </row>
    <row r="889" spans="3:3" x14ac:dyDescent="0.3">
      <c r="C889" t="s">
        <v>639</v>
      </c>
    </row>
    <row r="890" spans="3:3" x14ac:dyDescent="0.3">
      <c r="C890" t="s">
        <v>640</v>
      </c>
    </row>
    <row r="891" spans="3:3" x14ac:dyDescent="0.3">
      <c r="C891" t="s">
        <v>641</v>
      </c>
    </row>
    <row r="892" spans="3:3" x14ac:dyDescent="0.3">
      <c r="C892" t="s">
        <v>680</v>
      </c>
    </row>
    <row r="893" spans="3:3" x14ac:dyDescent="0.3">
      <c r="C893" t="s">
        <v>681</v>
      </c>
    </row>
    <row r="894" spans="3:3" x14ac:dyDescent="0.3">
      <c r="C894" t="s">
        <v>644</v>
      </c>
    </row>
    <row r="895" spans="3:3" x14ac:dyDescent="0.3">
      <c r="C895" t="s">
        <v>682</v>
      </c>
    </row>
    <row r="896" spans="3:3" x14ac:dyDescent="0.3">
      <c r="C896" t="s">
        <v>683</v>
      </c>
    </row>
    <row r="897" spans="3:3" x14ac:dyDescent="0.3">
      <c r="C897" t="s">
        <v>647</v>
      </c>
    </row>
    <row r="898" spans="3:3" x14ac:dyDescent="0.3">
      <c r="C898" t="s">
        <v>648</v>
      </c>
    </row>
    <row r="899" spans="3:3" x14ac:dyDescent="0.3">
      <c r="C899" t="s">
        <v>664</v>
      </c>
    </row>
    <row r="900" spans="3:3" x14ac:dyDescent="0.3">
      <c r="C900" t="s">
        <v>665</v>
      </c>
    </row>
    <row r="901" spans="3:3" x14ac:dyDescent="0.3">
      <c r="C901" t="s">
        <v>678</v>
      </c>
    </row>
    <row r="902" spans="3:3" x14ac:dyDescent="0.3">
      <c r="C902" t="s">
        <v>651</v>
      </c>
    </row>
    <row r="903" spans="3:3" x14ac:dyDescent="0.3">
      <c r="C903" t="s">
        <v>652</v>
      </c>
    </row>
    <row r="905" spans="3:3" x14ac:dyDescent="0.3">
      <c r="C905" t="s">
        <v>637</v>
      </c>
    </row>
    <row r="906" spans="3:3" x14ac:dyDescent="0.3">
      <c r="C906" t="s">
        <v>684</v>
      </c>
    </row>
    <row r="907" spans="3:3" x14ac:dyDescent="0.3">
      <c r="C907" t="s">
        <v>639</v>
      </c>
    </row>
    <row r="908" spans="3:3" x14ac:dyDescent="0.3">
      <c r="C908" t="s">
        <v>640</v>
      </c>
    </row>
    <row r="909" spans="3:3" x14ac:dyDescent="0.3">
      <c r="C909" t="s">
        <v>641</v>
      </c>
    </row>
    <row r="910" spans="3:3" x14ac:dyDescent="0.3">
      <c r="C910" t="s">
        <v>685</v>
      </c>
    </row>
    <row r="911" spans="3:3" x14ac:dyDescent="0.3">
      <c r="C911" t="s">
        <v>686</v>
      </c>
    </row>
    <row r="912" spans="3:3" x14ac:dyDescent="0.3">
      <c r="C912" t="s">
        <v>644</v>
      </c>
    </row>
    <row r="913" spans="3:3" x14ac:dyDescent="0.3">
      <c r="C913" t="s">
        <v>687</v>
      </c>
    </row>
    <row r="914" spans="3:3" x14ac:dyDescent="0.3">
      <c r="C914" t="s">
        <v>688</v>
      </c>
    </row>
    <row r="915" spans="3:3" x14ac:dyDescent="0.3">
      <c r="C915" t="s">
        <v>647</v>
      </c>
    </row>
    <row r="916" spans="3:3" x14ac:dyDescent="0.3">
      <c r="C916" t="s">
        <v>648</v>
      </c>
    </row>
    <row r="917" spans="3:3" x14ac:dyDescent="0.3">
      <c r="C917" t="s">
        <v>664</v>
      </c>
    </row>
    <row r="918" spans="3:3" x14ac:dyDescent="0.3">
      <c r="C918" t="s">
        <v>665</v>
      </c>
    </row>
    <row r="919" spans="3:3" x14ac:dyDescent="0.3">
      <c r="C919" t="s">
        <v>689</v>
      </c>
    </row>
    <row r="920" spans="3:3" x14ac:dyDescent="0.3">
      <c r="C920" t="s">
        <v>651</v>
      </c>
    </row>
    <row r="921" spans="3:3" x14ac:dyDescent="0.3">
      <c r="C921" t="s">
        <v>652</v>
      </c>
    </row>
    <row r="924" spans="3:3" x14ac:dyDescent="0.3">
      <c r="C924" t="s">
        <v>36</v>
      </c>
    </row>
    <row r="926" spans="3:3" x14ac:dyDescent="0.3">
      <c r="C926" t="s">
        <v>690</v>
      </c>
    </row>
    <row r="927" spans="3:3" x14ac:dyDescent="0.3">
      <c r="C927" t="s">
        <v>691</v>
      </c>
    </row>
    <row r="928" spans="3:3" x14ac:dyDescent="0.3">
      <c r="C928" t="s">
        <v>692</v>
      </c>
    </row>
    <row r="929" spans="3:3" x14ac:dyDescent="0.3">
      <c r="C929" t="s">
        <v>693</v>
      </c>
    </row>
    <row r="930" spans="3:3" x14ac:dyDescent="0.3">
      <c r="C930" t="s">
        <v>694</v>
      </c>
    </row>
    <row r="931" spans="3:3" x14ac:dyDescent="0.3">
      <c r="C931" t="s">
        <v>695</v>
      </c>
    </row>
    <row r="932" spans="3:3" x14ac:dyDescent="0.3">
      <c r="C932" t="s">
        <v>696</v>
      </c>
    </row>
    <row r="933" spans="3:3" x14ac:dyDescent="0.3">
      <c r="C933" t="s">
        <v>697</v>
      </c>
    </row>
    <row r="934" spans="3:3" x14ac:dyDescent="0.3">
      <c r="C934" t="s">
        <v>698</v>
      </c>
    </row>
    <row r="935" spans="3:3" x14ac:dyDescent="0.3">
      <c r="C935" t="s">
        <v>699</v>
      </c>
    </row>
    <row r="936" spans="3:3" x14ac:dyDescent="0.3">
      <c r="C936" t="s">
        <v>700</v>
      </c>
    </row>
    <row r="937" spans="3:3" x14ac:dyDescent="0.3">
      <c r="C937" t="s">
        <v>701</v>
      </c>
    </row>
    <row r="938" spans="3:3" x14ac:dyDescent="0.3">
      <c r="C938" t="s">
        <v>702</v>
      </c>
    </row>
    <row r="939" spans="3:3" x14ac:dyDescent="0.3">
      <c r="C939" t="s">
        <v>703</v>
      </c>
    </row>
    <row r="940" spans="3:3" x14ac:dyDescent="0.3">
      <c r="C940" t="s">
        <v>704</v>
      </c>
    </row>
    <row r="941" spans="3:3" x14ac:dyDescent="0.3">
      <c r="C941" t="s">
        <v>705</v>
      </c>
    </row>
    <row r="942" spans="3:3" x14ac:dyDescent="0.3">
      <c r="C942" t="s">
        <v>706</v>
      </c>
    </row>
    <row r="943" spans="3:3" x14ac:dyDescent="0.3">
      <c r="C943" t="s">
        <v>707</v>
      </c>
    </row>
    <row r="944" spans="3:3" x14ac:dyDescent="0.3">
      <c r="C944" t="s">
        <v>708</v>
      </c>
    </row>
    <row r="945" spans="3:3" x14ac:dyDescent="0.3">
      <c r="C945" t="s">
        <v>709</v>
      </c>
    </row>
    <row r="946" spans="3:3" x14ac:dyDescent="0.3">
      <c r="C946" t="s">
        <v>710</v>
      </c>
    </row>
    <row r="947" spans="3:3" x14ac:dyDescent="0.3">
      <c r="C947" t="s">
        <v>711</v>
      </c>
    </row>
    <row r="948" spans="3:3" x14ac:dyDescent="0.3">
      <c r="C948" t="s">
        <v>712</v>
      </c>
    </row>
    <row r="949" spans="3:3" x14ac:dyDescent="0.3">
      <c r="C949" t="s">
        <v>713</v>
      </c>
    </row>
    <row r="950" spans="3:3" x14ac:dyDescent="0.3">
      <c r="C950" t="s">
        <v>714</v>
      </c>
    </row>
    <row r="951" spans="3:3" x14ac:dyDescent="0.3">
      <c r="C951" t="s">
        <v>715</v>
      </c>
    </row>
    <row r="952" spans="3:3" x14ac:dyDescent="0.3">
      <c r="C952" t="s">
        <v>716</v>
      </c>
    </row>
    <row r="953" spans="3:3" x14ac:dyDescent="0.3">
      <c r="C953" t="s">
        <v>717</v>
      </c>
    </row>
    <row r="954" spans="3:3" x14ac:dyDescent="0.3">
      <c r="C954" t="s">
        <v>718</v>
      </c>
    </row>
    <row r="955" spans="3:3" x14ac:dyDescent="0.3">
      <c r="C955" t="s">
        <v>719</v>
      </c>
    </row>
    <row r="958" spans="3:3" x14ac:dyDescent="0.3">
      <c r="C958" t="s">
        <v>37</v>
      </c>
    </row>
    <row r="960" spans="3:3" x14ac:dyDescent="0.3">
      <c r="C960" t="s">
        <v>720</v>
      </c>
    </row>
    <row r="961" spans="3:3" x14ac:dyDescent="0.3">
      <c r="C961" t="s">
        <v>721</v>
      </c>
    </row>
    <row r="962" spans="3:3" x14ac:dyDescent="0.3">
      <c r="C962" t="s">
        <v>722</v>
      </c>
    </row>
    <row r="963" spans="3:3" x14ac:dyDescent="0.3">
      <c r="C963" t="s">
        <v>723</v>
      </c>
    </row>
    <row r="964" spans="3:3" x14ac:dyDescent="0.3">
      <c r="C964" t="s">
        <v>724</v>
      </c>
    </row>
    <row r="965" spans="3:3" x14ac:dyDescent="0.3">
      <c r="C965" t="s">
        <v>725</v>
      </c>
    </row>
    <row r="966" spans="3:3" x14ac:dyDescent="0.3">
      <c r="C966" t="s">
        <v>726</v>
      </c>
    </row>
    <row r="968" spans="3:3" x14ac:dyDescent="0.3">
      <c r="C968" t="s">
        <v>720</v>
      </c>
    </row>
    <row r="969" spans="3:3" x14ac:dyDescent="0.3">
      <c r="C969" t="s">
        <v>727</v>
      </c>
    </row>
    <row r="970" spans="3:3" x14ac:dyDescent="0.3">
      <c r="C970" t="s">
        <v>722</v>
      </c>
    </row>
    <row r="971" spans="3:3" x14ac:dyDescent="0.3">
      <c r="C971" t="s">
        <v>728</v>
      </c>
    </row>
    <row r="972" spans="3:3" x14ac:dyDescent="0.3">
      <c r="C972" t="s">
        <v>729</v>
      </c>
    </row>
    <row r="973" spans="3:3" x14ac:dyDescent="0.3">
      <c r="C973" t="s">
        <v>730</v>
      </c>
    </row>
    <row r="974" spans="3:3" x14ac:dyDescent="0.3">
      <c r="C974" t="s">
        <v>726</v>
      </c>
    </row>
    <row r="976" spans="3:3" x14ac:dyDescent="0.3">
      <c r="C976" t="s">
        <v>720</v>
      </c>
    </row>
    <row r="977" spans="3:3" x14ac:dyDescent="0.3">
      <c r="C977" t="s">
        <v>731</v>
      </c>
    </row>
    <row r="978" spans="3:3" x14ac:dyDescent="0.3">
      <c r="C978" t="s">
        <v>732</v>
      </c>
    </row>
    <row r="979" spans="3:3" x14ac:dyDescent="0.3">
      <c r="C979" t="s">
        <v>733</v>
      </c>
    </row>
    <row r="980" spans="3:3" x14ac:dyDescent="0.3">
      <c r="C980" t="s">
        <v>734</v>
      </c>
    </row>
    <row r="981" spans="3:3" x14ac:dyDescent="0.3">
      <c r="C981" t="s">
        <v>735</v>
      </c>
    </row>
    <row r="982" spans="3:3" x14ac:dyDescent="0.3">
      <c r="C982" t="s">
        <v>736</v>
      </c>
    </row>
    <row r="984" spans="3:3" x14ac:dyDescent="0.3">
      <c r="C984" t="s">
        <v>720</v>
      </c>
    </row>
    <row r="985" spans="3:3" x14ac:dyDescent="0.3">
      <c r="C985" t="s">
        <v>737</v>
      </c>
    </row>
    <row r="986" spans="3:3" x14ac:dyDescent="0.3">
      <c r="C986" t="s">
        <v>738</v>
      </c>
    </row>
    <row r="987" spans="3:3" x14ac:dyDescent="0.3">
      <c r="C987" t="s">
        <v>739</v>
      </c>
    </row>
    <row r="988" spans="3:3" x14ac:dyDescent="0.3">
      <c r="C988" t="s">
        <v>740</v>
      </c>
    </row>
    <row r="990" spans="3:3" x14ac:dyDescent="0.3">
      <c r="C990" t="s">
        <v>720</v>
      </c>
    </row>
    <row r="991" spans="3:3" x14ac:dyDescent="0.3">
      <c r="C991" t="s">
        <v>741</v>
      </c>
    </row>
    <row r="992" spans="3:3" x14ac:dyDescent="0.3">
      <c r="C992" t="s">
        <v>742</v>
      </c>
    </row>
    <row r="994" spans="3:3" x14ac:dyDescent="0.3">
      <c r="C994" t="s">
        <v>720</v>
      </c>
    </row>
    <row r="995" spans="3:3" x14ac:dyDescent="0.3">
      <c r="C995" t="s">
        <v>743</v>
      </c>
    </row>
    <row r="996" spans="3:3" x14ac:dyDescent="0.3">
      <c r="C996" t="s">
        <v>744</v>
      </c>
    </row>
    <row r="998" spans="3:3" x14ac:dyDescent="0.3">
      <c r="C998" t="s">
        <v>720</v>
      </c>
    </row>
    <row r="999" spans="3:3" x14ac:dyDescent="0.3">
      <c r="C999" t="s">
        <v>745</v>
      </c>
    </row>
    <row r="1000" spans="3:3" x14ac:dyDescent="0.3">
      <c r="C1000" t="s">
        <v>746</v>
      </c>
    </row>
    <row r="1002" spans="3:3" x14ac:dyDescent="0.3">
      <c r="C1002" t="s">
        <v>720</v>
      </c>
    </row>
    <row r="1003" spans="3:3" x14ac:dyDescent="0.3">
      <c r="C1003" t="s">
        <v>747</v>
      </c>
    </row>
    <row r="1004" spans="3:3" x14ac:dyDescent="0.3">
      <c r="C1004" t="s">
        <v>748</v>
      </c>
    </row>
    <row r="1006" spans="3:3" x14ac:dyDescent="0.3">
      <c r="C1006" t="s">
        <v>720</v>
      </c>
    </row>
    <row r="1007" spans="3:3" x14ac:dyDescent="0.3">
      <c r="C1007" t="s">
        <v>749</v>
      </c>
    </row>
    <row r="1008" spans="3:3" x14ac:dyDescent="0.3">
      <c r="C1008" t="s">
        <v>722</v>
      </c>
    </row>
    <row r="1009" spans="3:3" x14ac:dyDescent="0.3">
      <c r="C1009" t="s">
        <v>750</v>
      </c>
    </row>
    <row r="1010" spans="3:3" x14ac:dyDescent="0.3">
      <c r="C1010" t="s">
        <v>724</v>
      </c>
    </row>
    <row r="1011" spans="3:3" x14ac:dyDescent="0.3">
      <c r="C1011" t="s">
        <v>751</v>
      </c>
    </row>
    <row r="1012" spans="3:3" x14ac:dyDescent="0.3">
      <c r="C1012" t="s">
        <v>752</v>
      </c>
    </row>
    <row r="1013" spans="3:3" x14ac:dyDescent="0.3">
      <c r="C1013" t="s">
        <v>753</v>
      </c>
    </row>
    <row r="1015" spans="3:3" x14ac:dyDescent="0.3">
      <c r="C1015" t="s">
        <v>720</v>
      </c>
    </row>
    <row r="1016" spans="3:3" x14ac:dyDescent="0.3">
      <c r="C1016" t="s">
        <v>754</v>
      </c>
    </row>
    <row r="1017" spans="3:3" x14ac:dyDescent="0.3">
      <c r="C1017" t="s">
        <v>722</v>
      </c>
    </row>
    <row r="1018" spans="3:3" x14ac:dyDescent="0.3">
      <c r="C1018" t="s">
        <v>750</v>
      </c>
    </row>
    <row r="1019" spans="3:3" x14ac:dyDescent="0.3">
      <c r="C1019" t="s">
        <v>724</v>
      </c>
    </row>
    <row r="1020" spans="3:3" x14ac:dyDescent="0.3">
      <c r="C1020" t="s">
        <v>751</v>
      </c>
    </row>
    <row r="1021" spans="3:3" x14ac:dyDescent="0.3">
      <c r="C1021" t="s">
        <v>755</v>
      </c>
    </row>
    <row r="1022" spans="3:3" x14ac:dyDescent="0.3">
      <c r="C1022" t="s">
        <v>753</v>
      </c>
    </row>
    <row r="1024" spans="3:3" x14ac:dyDescent="0.3">
      <c r="C1024" t="s">
        <v>720</v>
      </c>
    </row>
    <row r="1025" spans="3:3" x14ac:dyDescent="0.3">
      <c r="C1025" t="s">
        <v>756</v>
      </c>
    </row>
    <row r="1026" spans="3:3" x14ac:dyDescent="0.3">
      <c r="C1026" t="s">
        <v>722</v>
      </c>
    </row>
    <row r="1027" spans="3:3" x14ac:dyDescent="0.3">
      <c r="C1027" t="s">
        <v>728</v>
      </c>
    </row>
    <row r="1028" spans="3:3" x14ac:dyDescent="0.3">
      <c r="C1028" t="s">
        <v>729</v>
      </c>
    </row>
    <row r="1029" spans="3:3" x14ac:dyDescent="0.3">
      <c r="C1029" t="s">
        <v>730</v>
      </c>
    </row>
    <row r="1030" spans="3:3" x14ac:dyDescent="0.3">
      <c r="C1030" t="s">
        <v>752</v>
      </c>
    </row>
    <row r="1031" spans="3:3" x14ac:dyDescent="0.3">
      <c r="C1031" t="s">
        <v>753</v>
      </c>
    </row>
    <row r="1033" spans="3:3" x14ac:dyDescent="0.3">
      <c r="C1033" t="s">
        <v>720</v>
      </c>
    </row>
    <row r="1034" spans="3:3" x14ac:dyDescent="0.3">
      <c r="C1034" t="s">
        <v>757</v>
      </c>
    </row>
    <row r="1035" spans="3:3" x14ac:dyDescent="0.3">
      <c r="C1035" t="s">
        <v>722</v>
      </c>
    </row>
    <row r="1036" spans="3:3" x14ac:dyDescent="0.3">
      <c r="C1036" t="s">
        <v>728</v>
      </c>
    </row>
    <row r="1037" spans="3:3" x14ac:dyDescent="0.3">
      <c r="C1037" t="s">
        <v>729</v>
      </c>
    </row>
    <row r="1038" spans="3:3" x14ac:dyDescent="0.3">
      <c r="C1038" t="s">
        <v>730</v>
      </c>
    </row>
    <row r="1039" spans="3:3" x14ac:dyDescent="0.3">
      <c r="C1039" t="s">
        <v>755</v>
      </c>
    </row>
    <row r="1040" spans="3:3" x14ac:dyDescent="0.3">
      <c r="C1040" t="s">
        <v>753</v>
      </c>
    </row>
    <row r="1042" spans="3:3" x14ac:dyDescent="0.3">
      <c r="C1042" t="s">
        <v>720</v>
      </c>
    </row>
    <row r="1043" spans="3:3" x14ac:dyDescent="0.3">
      <c r="C1043" t="s">
        <v>758</v>
      </c>
    </row>
    <row r="1044" spans="3:3" x14ac:dyDescent="0.3">
      <c r="C1044" t="s">
        <v>759</v>
      </c>
    </row>
    <row r="1046" spans="3:3" x14ac:dyDescent="0.3">
      <c r="C1046" t="s">
        <v>720</v>
      </c>
    </row>
    <row r="1047" spans="3:3" x14ac:dyDescent="0.3">
      <c r="C1047" t="s">
        <v>760</v>
      </c>
    </row>
    <row r="1048" spans="3:3" x14ac:dyDescent="0.3">
      <c r="C1048" t="s">
        <v>761</v>
      </c>
    </row>
    <row r="1050" spans="3:3" x14ac:dyDescent="0.3">
      <c r="C1050" t="s">
        <v>720</v>
      </c>
    </row>
    <row r="1051" spans="3:3" x14ac:dyDescent="0.3">
      <c r="C1051" t="s">
        <v>762</v>
      </c>
    </row>
    <row r="1052" spans="3:3" x14ac:dyDescent="0.3">
      <c r="C1052" t="s">
        <v>763</v>
      </c>
    </row>
    <row r="1055" spans="3:3" x14ac:dyDescent="0.3">
      <c r="C1055" t="s">
        <v>38</v>
      </c>
    </row>
    <row r="1057" spans="3:3" x14ac:dyDescent="0.3">
      <c r="C1057" t="s">
        <v>764</v>
      </c>
    </row>
    <row r="1058" spans="3:3" x14ac:dyDescent="0.3">
      <c r="C1058" t="s">
        <v>765</v>
      </c>
    </row>
    <row r="1059" spans="3:3" x14ac:dyDescent="0.3">
      <c r="C1059" t="s">
        <v>766</v>
      </c>
    </row>
    <row r="1060" spans="3:3" x14ac:dyDescent="0.3">
      <c r="C1060" t="s">
        <v>767</v>
      </c>
    </row>
    <row r="1061" spans="3:3" x14ac:dyDescent="0.3">
      <c r="C1061" t="s">
        <v>768</v>
      </c>
    </row>
    <row r="1062" spans="3:3" x14ac:dyDescent="0.3">
      <c r="C1062" t="s">
        <v>769</v>
      </c>
    </row>
    <row r="1065" spans="3:3" x14ac:dyDescent="0.3">
      <c r="C1065" t="s">
        <v>39</v>
      </c>
    </row>
    <row r="1067" spans="3:3" x14ac:dyDescent="0.3">
      <c r="C1067" t="s">
        <v>770</v>
      </c>
    </row>
    <row r="1068" spans="3:3" x14ac:dyDescent="0.3">
      <c r="C1068" t="s">
        <v>771</v>
      </c>
    </row>
    <row r="1069" spans="3:3" x14ac:dyDescent="0.3">
      <c r="C1069" t="s">
        <v>772</v>
      </c>
    </row>
    <row r="1070" spans="3:3" x14ac:dyDescent="0.3">
      <c r="C1070" t="s">
        <v>773</v>
      </c>
    </row>
    <row r="1071" spans="3:3" x14ac:dyDescent="0.3">
      <c r="C1071" t="s">
        <v>774</v>
      </c>
    </row>
    <row r="1072" spans="3:3" x14ac:dyDescent="0.3">
      <c r="C1072" t="s">
        <v>775</v>
      </c>
    </row>
    <row r="1074" spans="3:3" x14ac:dyDescent="0.3">
      <c r="C1074" t="s">
        <v>770</v>
      </c>
    </row>
    <row r="1075" spans="3:3" x14ac:dyDescent="0.3">
      <c r="C1075" t="s">
        <v>776</v>
      </c>
    </row>
    <row r="1076" spans="3:3" x14ac:dyDescent="0.3">
      <c r="C1076" t="s">
        <v>772</v>
      </c>
    </row>
    <row r="1077" spans="3:3" x14ac:dyDescent="0.3">
      <c r="C1077" t="s">
        <v>777</v>
      </c>
    </row>
    <row r="1078" spans="3:3" x14ac:dyDescent="0.3">
      <c r="C1078" t="s">
        <v>778</v>
      </c>
    </row>
    <row r="1079" spans="3:3" x14ac:dyDescent="0.3">
      <c r="C1079" t="s">
        <v>775</v>
      </c>
    </row>
    <row r="1081" spans="3:3" x14ac:dyDescent="0.3">
      <c r="C1081" t="s">
        <v>770</v>
      </c>
    </row>
    <row r="1082" spans="3:3" x14ac:dyDescent="0.3">
      <c r="C1082" t="s">
        <v>779</v>
      </c>
    </row>
    <row r="1083" spans="3:3" x14ac:dyDescent="0.3">
      <c r="C1083" t="s">
        <v>772</v>
      </c>
    </row>
    <row r="1084" spans="3:3" x14ac:dyDescent="0.3">
      <c r="C1084" t="s">
        <v>777</v>
      </c>
    </row>
    <row r="1085" spans="3:3" x14ac:dyDescent="0.3">
      <c r="C1085" t="s">
        <v>780</v>
      </c>
    </row>
    <row r="1086" spans="3:3" x14ac:dyDescent="0.3">
      <c r="C1086" t="s">
        <v>775</v>
      </c>
    </row>
    <row r="1088" spans="3:3" x14ac:dyDescent="0.3">
      <c r="C1088" t="s">
        <v>770</v>
      </c>
    </row>
    <row r="1089" spans="3:3" x14ac:dyDescent="0.3">
      <c r="C1089" t="s">
        <v>781</v>
      </c>
    </row>
    <row r="1090" spans="3:3" x14ac:dyDescent="0.3">
      <c r="C1090" t="s">
        <v>772</v>
      </c>
    </row>
    <row r="1091" spans="3:3" x14ac:dyDescent="0.3">
      <c r="C1091" t="s">
        <v>773</v>
      </c>
    </row>
    <row r="1092" spans="3:3" x14ac:dyDescent="0.3">
      <c r="C1092" t="s">
        <v>782</v>
      </c>
    </row>
    <row r="1093" spans="3:3" x14ac:dyDescent="0.3">
      <c r="C1093" t="s">
        <v>775</v>
      </c>
    </row>
    <row r="1095" spans="3:3" x14ac:dyDescent="0.3">
      <c r="C1095" t="s">
        <v>770</v>
      </c>
    </row>
    <row r="1096" spans="3:3" x14ac:dyDescent="0.3">
      <c r="C1096" t="s">
        <v>783</v>
      </c>
    </row>
    <row r="1097" spans="3:3" x14ac:dyDescent="0.3">
      <c r="C1097" t="s">
        <v>772</v>
      </c>
    </row>
    <row r="1098" spans="3:3" x14ac:dyDescent="0.3">
      <c r="C1098" t="s">
        <v>773</v>
      </c>
    </row>
    <row r="1099" spans="3:3" x14ac:dyDescent="0.3">
      <c r="C1099" t="s">
        <v>774</v>
      </c>
    </row>
    <row r="1100" spans="3:3" x14ac:dyDescent="0.3">
      <c r="C1100" t="s">
        <v>784</v>
      </c>
    </row>
    <row r="1102" spans="3:3" x14ac:dyDescent="0.3">
      <c r="C1102" t="s">
        <v>770</v>
      </c>
    </row>
    <row r="1103" spans="3:3" x14ac:dyDescent="0.3">
      <c r="C1103" t="s">
        <v>785</v>
      </c>
    </row>
    <row r="1104" spans="3:3" x14ac:dyDescent="0.3">
      <c r="C1104" t="s">
        <v>772</v>
      </c>
    </row>
    <row r="1105" spans="3:3" x14ac:dyDescent="0.3">
      <c r="C1105" t="s">
        <v>777</v>
      </c>
    </row>
    <row r="1106" spans="3:3" x14ac:dyDescent="0.3">
      <c r="C1106" t="s">
        <v>778</v>
      </c>
    </row>
    <row r="1107" spans="3:3" x14ac:dyDescent="0.3">
      <c r="C1107" t="s">
        <v>784</v>
      </c>
    </row>
    <row r="1109" spans="3:3" x14ac:dyDescent="0.3">
      <c r="C1109" t="s">
        <v>770</v>
      </c>
    </row>
    <row r="1110" spans="3:3" x14ac:dyDescent="0.3">
      <c r="C1110" t="s">
        <v>786</v>
      </c>
    </row>
    <row r="1111" spans="3:3" x14ac:dyDescent="0.3">
      <c r="C1111" t="s">
        <v>772</v>
      </c>
    </row>
    <row r="1112" spans="3:3" x14ac:dyDescent="0.3">
      <c r="C1112" t="s">
        <v>787</v>
      </c>
    </row>
    <row r="1113" spans="3:3" x14ac:dyDescent="0.3">
      <c r="C1113" t="s">
        <v>774</v>
      </c>
    </row>
    <row r="1114" spans="3:3" x14ac:dyDescent="0.3">
      <c r="C1114" t="s">
        <v>784</v>
      </c>
    </row>
    <row r="1117" spans="3:3" x14ac:dyDescent="0.3">
      <c r="C1117" t="s">
        <v>40</v>
      </c>
    </row>
    <row r="1119" spans="3:3" x14ac:dyDescent="0.3">
      <c r="C1119" t="s">
        <v>788</v>
      </c>
    </row>
    <row r="1120" spans="3:3" x14ac:dyDescent="0.3">
      <c r="C1120" t="s">
        <v>789</v>
      </c>
    </row>
    <row r="1121" spans="3:3" x14ac:dyDescent="0.3">
      <c r="C1121" t="s">
        <v>790</v>
      </c>
    </row>
    <row r="1122" spans="3:3" x14ac:dyDescent="0.3">
      <c r="C1122" t="s">
        <v>791</v>
      </c>
    </row>
    <row r="1123" spans="3:3" x14ac:dyDescent="0.3">
      <c r="C1123" t="s">
        <v>792</v>
      </c>
    </row>
    <row r="1124" spans="3:3" x14ac:dyDescent="0.3">
      <c r="C1124" t="s">
        <v>793</v>
      </c>
    </row>
    <row r="1125" spans="3:3" x14ac:dyDescent="0.3">
      <c r="C1125" t="s">
        <v>794</v>
      </c>
    </row>
    <row r="1126" spans="3:3" x14ac:dyDescent="0.3">
      <c r="C1126" t="s">
        <v>795</v>
      </c>
    </row>
    <row r="1127" spans="3:3" x14ac:dyDescent="0.3">
      <c r="C1127" t="s">
        <v>796</v>
      </c>
    </row>
    <row r="1130" spans="3:3" x14ac:dyDescent="0.3">
      <c r="C1130" t="s">
        <v>41</v>
      </c>
    </row>
    <row r="1132" spans="3:3" x14ac:dyDescent="0.3">
      <c r="C1132" t="str">
        <f>constructions!D3</f>
        <v>BuildingSurface:Detailed,</v>
      </c>
    </row>
    <row r="1133" spans="3:3" x14ac:dyDescent="0.3">
      <c r="C1133" t="str">
        <f>constructions!D4</f>
        <v xml:space="preserve">    ParedeIntSalaQuarto1,    !- Name</v>
      </c>
    </row>
    <row r="1134" spans="3:3" x14ac:dyDescent="0.3">
      <c r="C1134" t="str">
        <f>constructions!D5</f>
        <v xml:space="preserve">    Wall,                    !- Surface Type</v>
      </c>
    </row>
    <row r="1135" spans="3:3" x14ac:dyDescent="0.3">
      <c r="C1135" t="str">
        <f>constructions!D6</f>
        <v>Parede  Tijolo cerâmico 9x14x24 c/ argamassa int e ext ,!- Construction Name</v>
      </c>
    </row>
    <row r="1136" spans="3:3" x14ac:dyDescent="0.3">
      <c r="C1136" t="str">
        <f>constructions!D7</f>
        <v xml:space="preserve">    Sala,                    !- Zone Name</v>
      </c>
    </row>
    <row r="1137" spans="3:3" x14ac:dyDescent="0.3">
      <c r="C1137" t="str">
        <f>constructions!D8</f>
        <v xml:space="preserve">    Surface,                 !- Outside Boundary Condition</v>
      </c>
    </row>
    <row r="1138" spans="3:3" x14ac:dyDescent="0.3">
      <c r="C1138" t="str">
        <f>constructions!D9</f>
        <v xml:space="preserve">    ParedeIntQuarto1Sala,    !- Outside Boundary Condition Object</v>
      </c>
    </row>
    <row r="1139" spans="3:3" x14ac:dyDescent="0.3">
      <c r="C1139" t="str">
        <f>constructions!D10</f>
        <v xml:space="preserve">    NoSun,                   !- Sun Exposure</v>
      </c>
    </row>
    <row r="1140" spans="3:3" x14ac:dyDescent="0.3">
      <c r="C1140" t="str">
        <f>constructions!D11</f>
        <v xml:space="preserve">    NoWind,                  !- Wind Exposure</v>
      </c>
    </row>
    <row r="1141" spans="3:3" x14ac:dyDescent="0.3">
      <c r="C1141" t="str">
        <f>constructions!D12</f>
        <v xml:space="preserve">    ,                        !- View Factor to Ground</v>
      </c>
    </row>
    <row r="1142" spans="3:3" x14ac:dyDescent="0.3">
      <c r="C1142" t="str">
        <f>constructions!D13</f>
        <v xml:space="preserve">    ,                        !- Number of Vertices</v>
      </c>
    </row>
    <row r="1143" spans="3:3" x14ac:dyDescent="0.3">
      <c r="C1143" t="str">
        <f>constructions!D14</f>
        <v xml:space="preserve">    3.87,                    !- Vertex 1 X-coordinate {m}</v>
      </c>
    </row>
    <row r="1144" spans="3:3" x14ac:dyDescent="0.3">
      <c r="C1144" t="str">
        <f>constructions!D15</f>
        <v xml:space="preserve">    0.999999999999998,       !- Vertex 1 Y-coordinate {m}</v>
      </c>
    </row>
    <row r="1145" spans="3:3" x14ac:dyDescent="0.3">
      <c r="C1145" t="str">
        <f>constructions!D16</f>
        <v xml:space="preserve">    2.7,                     !- Vertex 1 Z-coordinate {m}</v>
      </c>
    </row>
    <row r="1146" spans="3:3" x14ac:dyDescent="0.3">
      <c r="C1146" t="str">
        <f>constructions!D17</f>
        <v xml:space="preserve">    3.87,                    !- Vertex 2 X-coordinate {m}</v>
      </c>
    </row>
    <row r="1147" spans="3:3" x14ac:dyDescent="0.3">
      <c r="C1147" t="str">
        <f>constructions!D18</f>
        <v xml:space="preserve">    0.999999999999998,       !- Vertex 2 Y-coordinate {m}</v>
      </c>
    </row>
    <row r="1148" spans="3:3" x14ac:dyDescent="0.3">
      <c r="C1148" t="str">
        <f>constructions!D19</f>
        <v xml:space="preserve">    0,                       !- Vertex 2 Z-coordinate {m}</v>
      </c>
    </row>
    <row r="1149" spans="3:3" x14ac:dyDescent="0.3">
      <c r="C1149" t="str">
        <f>constructions!D20</f>
        <v xml:space="preserve">    3.87,                    !- Vertex 3 X-coordinate {m}</v>
      </c>
    </row>
    <row r="1150" spans="3:3" x14ac:dyDescent="0.3">
      <c r="C1150" t="str">
        <f>constructions!D21</f>
        <v xml:space="preserve">    3.95328087937421,        !- Vertex 3 Y-coordinate {m}</v>
      </c>
    </row>
    <row r="1151" spans="3:3" x14ac:dyDescent="0.3">
      <c r="C1151" t="str">
        <f>constructions!D22</f>
        <v xml:space="preserve">    0,                       !- Vertex 3 Z-coordinate {m}</v>
      </c>
    </row>
    <row r="1152" spans="3:3" x14ac:dyDescent="0.3">
      <c r="C1152" t="str">
        <f>constructions!D23</f>
        <v xml:space="preserve">    3.87,                    !- Vertex 4 X-coordinate {m}</v>
      </c>
    </row>
    <row r="1153" spans="3:3" x14ac:dyDescent="0.3">
      <c r="C1153" t="str">
        <f>constructions!D24</f>
        <v xml:space="preserve">    3.95328087937421,        !- Vertex 4 Y-coordinate {m}</v>
      </c>
    </row>
    <row r="1154" spans="3:3" x14ac:dyDescent="0.3">
      <c r="C1154" t="str">
        <f>constructions!D25</f>
        <v xml:space="preserve">    2.7;                     !- Vertex 4 Z-coordinate {m}</v>
      </c>
    </row>
    <row r="1155" spans="3:3" x14ac:dyDescent="0.3">
      <c r="C1155" t="str">
        <f>constructions!D26</f>
        <v/>
      </c>
    </row>
    <row r="1156" spans="3:3" x14ac:dyDescent="0.3">
      <c r="C1156" t="str">
        <f>constructions!D27</f>
        <v>BuildingSurface:Detailed,</v>
      </c>
    </row>
    <row r="1157" spans="3:3" x14ac:dyDescent="0.3">
      <c r="C1157" t="str">
        <f>constructions!D28</f>
        <v xml:space="preserve">    ParedeIntSalaQuarto2,    !- Name</v>
      </c>
    </row>
    <row r="1158" spans="3:3" x14ac:dyDescent="0.3">
      <c r="C1158" t="str">
        <f>constructions!D29</f>
        <v xml:space="preserve">    Wall,                    !- Surface Type</v>
      </c>
    </row>
    <row r="1159" spans="3:3" x14ac:dyDescent="0.3">
      <c r="C1159" t="str">
        <f>constructions!D30</f>
        <v>Parede  Tijolo cerâmico 9x14x24 c/ argamassa int e ext ,!- Construction Name</v>
      </c>
    </row>
    <row r="1160" spans="3:3" x14ac:dyDescent="0.3">
      <c r="C1160" t="str">
        <f>constructions!D31</f>
        <v xml:space="preserve">    Sala,                    !- Zone Name</v>
      </c>
    </row>
    <row r="1161" spans="3:3" x14ac:dyDescent="0.3">
      <c r="C1161" t="str">
        <f>constructions!D32</f>
        <v xml:space="preserve">    Surface,                 !- Outside Boundary Condition</v>
      </c>
    </row>
    <row r="1162" spans="3:3" x14ac:dyDescent="0.3">
      <c r="C1162" t="str">
        <f>constructions!D33</f>
        <v xml:space="preserve">    ParedeIntQuarto2Sala,    !- Outside Boundary Condition Object</v>
      </c>
    </row>
    <row r="1163" spans="3:3" x14ac:dyDescent="0.3">
      <c r="C1163" t="str">
        <f>constructions!D34</f>
        <v xml:space="preserve">    NoSun,                   !- Sun Exposure</v>
      </c>
    </row>
    <row r="1164" spans="3:3" x14ac:dyDescent="0.3">
      <c r="C1164" t="str">
        <f>constructions!D35</f>
        <v xml:space="preserve">    NoWind,                  !- Wind Exposure</v>
      </c>
    </row>
    <row r="1165" spans="3:3" x14ac:dyDescent="0.3">
      <c r="C1165" t="str">
        <f>constructions!D36</f>
        <v xml:space="preserve">    ,                        !- View Factor to Ground</v>
      </c>
    </row>
    <row r="1166" spans="3:3" x14ac:dyDescent="0.3">
      <c r="C1166" t="str">
        <f>constructions!D37</f>
        <v xml:space="preserve">    ,                        !- Number of Vertices</v>
      </c>
    </row>
    <row r="1167" spans="3:3" x14ac:dyDescent="0.3">
      <c r="C1167" t="str">
        <f>constructions!D38</f>
        <v xml:space="preserve">    3.87,                    !- Vertex 1 X-coordinate {m}</v>
      </c>
    </row>
    <row r="1168" spans="3:3" x14ac:dyDescent="0.3">
      <c r="C1168" t="str">
        <f>constructions!D39</f>
        <v xml:space="preserve">    3.95328087937421,        !- Vertex 1 Y-coordinate {m}</v>
      </c>
    </row>
    <row r="1169" spans="3:3" x14ac:dyDescent="0.3">
      <c r="C1169" t="str">
        <f>constructions!D40</f>
        <v xml:space="preserve">    2.7,                     !- Vertex 1 Z-coordinate {m}</v>
      </c>
    </row>
    <row r="1170" spans="3:3" x14ac:dyDescent="0.3">
      <c r="C1170" t="str">
        <f>constructions!D41</f>
        <v xml:space="preserve">    3.87,                    !- Vertex 2 X-coordinate {m}</v>
      </c>
    </row>
    <row r="1171" spans="3:3" x14ac:dyDescent="0.3">
      <c r="C1171" t="str">
        <f>constructions!D42</f>
        <v xml:space="preserve">    3.95328087937421,        !- Vertex 2 Y-coordinate {m}</v>
      </c>
    </row>
    <row r="1172" spans="3:3" x14ac:dyDescent="0.3">
      <c r="C1172" t="str">
        <f>constructions!D43</f>
        <v xml:space="preserve">    0,                       !- Vertex 2 Z-coordinate {m}</v>
      </c>
    </row>
    <row r="1173" spans="3:3" x14ac:dyDescent="0.3">
      <c r="C1173" t="str">
        <f>constructions!D44</f>
        <v xml:space="preserve">    3.87,                    !- Vertex 3 X-coordinate {m}</v>
      </c>
    </row>
    <row r="1174" spans="3:3" x14ac:dyDescent="0.3">
      <c r="C1174" t="str">
        <f>constructions!D45</f>
        <v xml:space="preserve">    6.73,                    !- Vertex 3 Y-coordinate {m}</v>
      </c>
    </row>
    <row r="1175" spans="3:3" x14ac:dyDescent="0.3">
      <c r="C1175" t="str">
        <f>constructions!D46</f>
        <v xml:space="preserve">    0,                       !- Vertex 3 Z-coordinate {m}</v>
      </c>
    </row>
    <row r="1176" spans="3:3" x14ac:dyDescent="0.3">
      <c r="C1176" t="str">
        <f>constructions!D47</f>
        <v xml:space="preserve">    3.87,                    !- Vertex 4 X-coordinate {m}</v>
      </c>
    </row>
    <row r="1177" spans="3:3" x14ac:dyDescent="0.3">
      <c r="C1177" t="str">
        <f>constructions!D48</f>
        <v xml:space="preserve">    6.73,                    !- Vertex 4 Y-coordinate {m}</v>
      </c>
    </row>
    <row r="1178" spans="3:3" x14ac:dyDescent="0.3">
      <c r="C1178" t="str">
        <f>constructions!D49</f>
        <v xml:space="preserve">    2.7;                     !- Vertex 4 Z-coordinate {m}</v>
      </c>
    </row>
    <row r="1179" spans="3:3" x14ac:dyDescent="0.3">
      <c r="C1179" t="str">
        <f>constructions!D50</f>
        <v/>
      </c>
    </row>
    <row r="1180" spans="3:3" x14ac:dyDescent="0.3">
      <c r="C1180" t="str">
        <f>constructions!D51</f>
        <v>BuildingSurface:Detailed,</v>
      </c>
    </row>
    <row r="1181" spans="3:3" x14ac:dyDescent="0.3">
      <c r="C1181" t="str">
        <f>constructions!D52</f>
        <v xml:space="preserve">    ParedeSalaLeste,         !- Name</v>
      </c>
    </row>
    <row r="1182" spans="3:3" x14ac:dyDescent="0.3">
      <c r="C1182" t="str">
        <f>constructions!D53</f>
        <v xml:space="preserve">    Wall,                    !- Surface Type</v>
      </c>
    </row>
    <row r="1183" spans="3:3" x14ac:dyDescent="0.3">
      <c r="C1183" t="str">
        <f>constructions!D54</f>
        <v>Parede  Tijolo cerâmico 9x14x24 c/ argamassa int e ext,!- Construction Name</v>
      </c>
    </row>
    <row r="1184" spans="3:3" x14ac:dyDescent="0.3">
      <c r="C1184" t="str">
        <f>constructions!D55</f>
        <v xml:space="preserve">    Sala,                    !- Zone Name</v>
      </c>
    </row>
    <row r="1185" spans="3:3" x14ac:dyDescent="0.3">
      <c r="C1185" t="str">
        <f>constructions!D56</f>
        <v xml:space="preserve">    Outdoors,                !- Outside Boundary Condition</v>
      </c>
    </row>
    <row r="1186" spans="3:3" x14ac:dyDescent="0.3">
      <c r="C1186" t="str">
        <f>constructions!D57</f>
        <v xml:space="preserve">    ,                        !- Outside Boundary Condition Object</v>
      </c>
    </row>
    <row r="1187" spans="3:3" x14ac:dyDescent="0.3">
      <c r="C1187" t="str">
        <f>constructions!D58</f>
        <v xml:space="preserve">    SunExposed,              !- Sun Exposure</v>
      </c>
    </row>
    <row r="1188" spans="3:3" x14ac:dyDescent="0.3">
      <c r="C1188" t="str">
        <f>constructions!D59</f>
        <v xml:space="preserve">    WindExposed,             !- Wind Exposure</v>
      </c>
    </row>
    <row r="1189" spans="3:3" x14ac:dyDescent="0.3">
      <c r="C1189" t="str">
        <f>constructions!D60</f>
        <v xml:space="preserve">    ,                        !- View Factor to Ground</v>
      </c>
    </row>
    <row r="1190" spans="3:3" x14ac:dyDescent="0.3">
      <c r="C1190" t="str">
        <f>constructions!D61</f>
        <v xml:space="preserve">    ,                        !- Number of Vertices</v>
      </c>
    </row>
    <row r="1191" spans="3:3" x14ac:dyDescent="0.3">
      <c r="C1191" t="str">
        <f>constructions!D62</f>
        <v xml:space="preserve">    3.87,                    !- Vertex 1 X-coordinate {m}</v>
      </c>
    </row>
    <row r="1192" spans="3:3" x14ac:dyDescent="0.3">
      <c r="C1192" t="str">
        <f>constructions!D63</f>
        <v xml:space="preserve">    0,                       !- Vertex 1 Y-coordinate {m}</v>
      </c>
    </row>
    <row r="1193" spans="3:3" x14ac:dyDescent="0.3">
      <c r="C1193" t="str">
        <f>constructions!D64</f>
        <v xml:space="preserve">    2.7,                     !- Vertex 1 Z-coordinate {m}</v>
      </c>
    </row>
    <row r="1194" spans="3:3" x14ac:dyDescent="0.3">
      <c r="C1194" t="str">
        <f>constructions!D65</f>
        <v xml:space="preserve">    3.87,                    !- Vertex 2 X-coordinate {m}</v>
      </c>
    </row>
    <row r="1195" spans="3:3" x14ac:dyDescent="0.3">
      <c r="C1195" t="str">
        <f>constructions!D66</f>
        <v xml:space="preserve">    0,                       !- Vertex 2 Y-coordinate {m}</v>
      </c>
    </row>
    <row r="1196" spans="3:3" x14ac:dyDescent="0.3">
      <c r="C1196" t="str">
        <f>constructions!D67</f>
        <v xml:space="preserve">    0,                       !- Vertex 2 Z-coordinate {m}</v>
      </c>
    </row>
    <row r="1197" spans="3:3" x14ac:dyDescent="0.3">
      <c r="C1197" t="str">
        <f>constructions!D68</f>
        <v xml:space="preserve">    3.87,                    !- Vertex 3 X-coordinate {m}</v>
      </c>
    </row>
    <row r="1198" spans="3:3" x14ac:dyDescent="0.3">
      <c r="C1198" t="str">
        <f>constructions!D69</f>
        <v xml:space="preserve">    0.999999999999998,       !- Vertex 3 Y-coordinate {m}</v>
      </c>
    </row>
    <row r="1199" spans="3:3" x14ac:dyDescent="0.3">
      <c r="C1199" t="str">
        <f>constructions!D70</f>
        <v xml:space="preserve">    0,                       !- Vertex 3 Z-coordinate {m}</v>
      </c>
    </row>
    <row r="1200" spans="3:3" x14ac:dyDescent="0.3">
      <c r="C1200" t="str">
        <f>constructions!D71</f>
        <v xml:space="preserve">    3.87,                    !- Vertex 4 X-coordinate {m}</v>
      </c>
    </row>
    <row r="1201" spans="3:3" x14ac:dyDescent="0.3">
      <c r="C1201" t="str">
        <f>constructions!D72</f>
        <v xml:space="preserve">    0.999999999999998,       !- Vertex 4 Y-coordinate {m}</v>
      </c>
    </row>
    <row r="1202" spans="3:3" x14ac:dyDescent="0.3">
      <c r="C1202" t="str">
        <f>constructions!D73</f>
        <v xml:space="preserve">    2.7;                     !- Vertex 4 Z-coordinate {m}</v>
      </c>
    </row>
    <row r="1203" spans="3:3" x14ac:dyDescent="0.3">
      <c r="C1203" t="str">
        <f>constructions!D74</f>
        <v/>
      </c>
    </row>
    <row r="1204" spans="3:3" x14ac:dyDescent="0.3">
      <c r="C1204" t="str">
        <f>constructions!D75</f>
        <v>BuildingSurface:Detailed,</v>
      </c>
    </row>
    <row r="1205" spans="3:3" x14ac:dyDescent="0.3">
      <c r="C1205" t="str">
        <f>constructions!D76</f>
        <v xml:space="preserve">    ParedeSalaNorte,         !- Name</v>
      </c>
    </row>
    <row r="1206" spans="3:3" x14ac:dyDescent="0.3">
      <c r="C1206" t="str">
        <f>constructions!D77</f>
        <v xml:space="preserve">    Wall,                    !- Surface Type</v>
      </c>
    </row>
    <row r="1207" spans="3:3" x14ac:dyDescent="0.3">
      <c r="C1207" t="str">
        <f>constructions!D78</f>
        <v>Parede  Tijolo cerâmico 9x14x24 c/ argamassa int e ext,!- Construction Name</v>
      </c>
    </row>
    <row r="1208" spans="3:3" x14ac:dyDescent="0.3">
      <c r="C1208" t="str">
        <f>constructions!D79</f>
        <v xml:space="preserve">    Sala,                    !- Zone Name</v>
      </c>
    </row>
    <row r="1209" spans="3:3" x14ac:dyDescent="0.3">
      <c r="C1209" t="str">
        <f>constructions!D80</f>
        <v xml:space="preserve">    Outdoors,                !- Outside Boundary Condition</v>
      </c>
    </row>
    <row r="1210" spans="3:3" x14ac:dyDescent="0.3">
      <c r="C1210" t="str">
        <f>constructions!D81</f>
        <v xml:space="preserve">    ,                        !- Outside Boundary Condition Object</v>
      </c>
    </row>
    <row r="1211" spans="3:3" x14ac:dyDescent="0.3">
      <c r="C1211" t="str">
        <f>constructions!D82</f>
        <v xml:space="preserve">    SunExposed,              !- Sun Exposure</v>
      </c>
    </row>
    <row r="1212" spans="3:3" x14ac:dyDescent="0.3">
      <c r="C1212" t="str">
        <f>constructions!D83</f>
        <v xml:space="preserve">    WindExposed,             !- Wind Exposure</v>
      </c>
    </row>
    <row r="1213" spans="3:3" x14ac:dyDescent="0.3">
      <c r="C1213" t="str">
        <f>constructions!D84</f>
        <v xml:space="preserve">    ,                        !- View Factor to Ground</v>
      </c>
    </row>
    <row r="1214" spans="3:3" x14ac:dyDescent="0.3">
      <c r="C1214" t="str">
        <f>constructions!D85</f>
        <v xml:space="preserve">    ,                        !- Number of Vertices</v>
      </c>
    </row>
    <row r="1215" spans="3:3" x14ac:dyDescent="0.3">
      <c r="C1215" t="str">
        <f>constructions!D86</f>
        <v xml:space="preserve">    3.87,                    !- Vertex 1 X-coordinate {m}</v>
      </c>
    </row>
    <row r="1216" spans="3:3" x14ac:dyDescent="0.3">
      <c r="C1216" t="str">
        <f>constructions!D87</f>
        <v xml:space="preserve">    6.73,                    !- Vertex 1 Y-coordinate {m}</v>
      </c>
    </row>
    <row r="1217" spans="3:3" x14ac:dyDescent="0.3">
      <c r="C1217" t="str">
        <f>constructions!D88</f>
        <v xml:space="preserve">    2.7,                     !- Vertex 1 Z-coordinate {m}</v>
      </c>
    </row>
    <row r="1218" spans="3:3" x14ac:dyDescent="0.3">
      <c r="C1218" t="str">
        <f>constructions!D89</f>
        <v xml:space="preserve">    3.87,                    !- Vertex 2 X-coordinate {m}</v>
      </c>
    </row>
    <row r="1219" spans="3:3" x14ac:dyDescent="0.3">
      <c r="C1219" t="str">
        <f>constructions!D90</f>
        <v xml:space="preserve">    6.73,                    !- Vertex 2 Y-coordinate {m}</v>
      </c>
    </row>
    <row r="1220" spans="3:3" x14ac:dyDescent="0.3">
      <c r="C1220" t="str">
        <f>constructions!D91</f>
        <v xml:space="preserve">    0,                       !- Vertex 2 Z-coordinate {m}</v>
      </c>
    </row>
    <row r="1221" spans="3:3" x14ac:dyDescent="0.3">
      <c r="C1221" t="str">
        <f>constructions!D92</f>
        <v xml:space="preserve">    2.66,                    !- Vertex 3 X-coordinate {m}</v>
      </c>
    </row>
    <row r="1222" spans="3:3" x14ac:dyDescent="0.3">
      <c r="C1222" t="str">
        <f>constructions!D93</f>
        <v xml:space="preserve">    6.73,                    !- Vertex 3 Y-coordinate {m}</v>
      </c>
    </row>
    <row r="1223" spans="3:3" x14ac:dyDescent="0.3">
      <c r="C1223" t="str">
        <f>constructions!D94</f>
        <v xml:space="preserve">    0,                       !- Vertex 3 Z-coordinate {m}</v>
      </c>
    </row>
    <row r="1224" spans="3:3" x14ac:dyDescent="0.3">
      <c r="C1224" t="str">
        <f>constructions!D95</f>
        <v xml:space="preserve">    2.66,                    !- Vertex 4 X-coordinate {m}</v>
      </c>
    </row>
    <row r="1225" spans="3:3" x14ac:dyDescent="0.3">
      <c r="C1225" t="str">
        <f>constructions!D96</f>
        <v xml:space="preserve">    6.73,                    !- Vertex 4 Y-coordinate {m}</v>
      </c>
    </row>
    <row r="1226" spans="3:3" x14ac:dyDescent="0.3">
      <c r="C1226" t="str">
        <f>constructions!D97</f>
        <v xml:space="preserve">    2.7;                     !- Vertex 4 Z-coordinate {m}</v>
      </c>
    </row>
    <row r="1227" spans="3:3" x14ac:dyDescent="0.3">
      <c r="C1227" t="str">
        <f>constructions!D98</f>
        <v/>
      </c>
    </row>
    <row r="1228" spans="3:3" x14ac:dyDescent="0.3">
      <c r="C1228" t="str">
        <f>constructions!D99</f>
        <v>BuildingSurface:Detailed,</v>
      </c>
    </row>
    <row r="1229" spans="3:3" x14ac:dyDescent="0.3">
      <c r="C1229" t="str">
        <f>constructions!D100</f>
        <v xml:space="preserve">    ParedeSalaOeste,         !- Name</v>
      </c>
    </row>
    <row r="1230" spans="3:3" x14ac:dyDescent="0.3">
      <c r="C1230" t="str">
        <f>constructions!D101</f>
        <v xml:space="preserve">    Wall,                    !- Surface Type</v>
      </c>
    </row>
    <row r="1231" spans="3:3" x14ac:dyDescent="0.3">
      <c r="C1231" t="str">
        <f>constructions!D102</f>
        <v>Parede  Tijolo cerâmico 9x14x24 c/ argamassa int e ext,!- Construction Name</v>
      </c>
    </row>
    <row r="1232" spans="3:3" x14ac:dyDescent="0.3">
      <c r="C1232" t="str">
        <f>constructions!D103</f>
        <v xml:space="preserve">    Sala,                    !- Zone Name</v>
      </c>
    </row>
    <row r="1233" spans="3:3" x14ac:dyDescent="0.3">
      <c r="C1233" t="str">
        <f>constructions!D104</f>
        <v xml:space="preserve">    Outdoors,                !- Outside Boundary Condition</v>
      </c>
    </row>
    <row r="1234" spans="3:3" x14ac:dyDescent="0.3">
      <c r="C1234" t="str">
        <f>constructions!D105</f>
        <v xml:space="preserve">    ,                        !- Outside Boundary Condition Object</v>
      </c>
    </row>
    <row r="1235" spans="3:3" x14ac:dyDescent="0.3">
      <c r="C1235" t="str">
        <f>constructions!D106</f>
        <v xml:space="preserve">    SunExposed,              !- Sun Exposure</v>
      </c>
    </row>
    <row r="1236" spans="3:3" x14ac:dyDescent="0.3">
      <c r="C1236" t="str">
        <f>constructions!D107</f>
        <v xml:space="preserve">    WindExposed,             !- Wind Exposure</v>
      </c>
    </row>
    <row r="1237" spans="3:3" x14ac:dyDescent="0.3">
      <c r="C1237" t="str">
        <f>constructions!D108</f>
        <v xml:space="preserve">    ,                        !- View Factor to Ground</v>
      </c>
    </row>
    <row r="1238" spans="3:3" x14ac:dyDescent="0.3">
      <c r="C1238" t="str">
        <f>constructions!D109</f>
        <v xml:space="preserve">    ,                        !- Number of Vertices</v>
      </c>
    </row>
    <row r="1239" spans="3:3" x14ac:dyDescent="0.3">
      <c r="C1239" t="str">
        <f>constructions!D110</f>
        <v xml:space="preserve">    0,                       !- Vertex 1 X-coordinate {m}</v>
      </c>
    </row>
    <row r="1240" spans="3:3" x14ac:dyDescent="0.3">
      <c r="C1240" t="str">
        <f>constructions!D111</f>
        <v xml:space="preserve">    4.91,                    !- Vertex 1 Y-coordinate {m}</v>
      </c>
    </row>
    <row r="1241" spans="3:3" x14ac:dyDescent="0.3">
      <c r="C1241" t="str">
        <f>constructions!D112</f>
        <v xml:space="preserve">    2.7,                     !- Vertex 1 Z-coordinate {m}</v>
      </c>
    </row>
    <row r="1242" spans="3:3" x14ac:dyDescent="0.3">
      <c r="C1242" t="str">
        <f>constructions!D113</f>
        <v xml:space="preserve">    0,                       !- Vertex 2 X-coordinate {m}</v>
      </c>
    </row>
    <row r="1243" spans="3:3" x14ac:dyDescent="0.3">
      <c r="C1243" t="str">
        <f>constructions!D114</f>
        <v xml:space="preserve">    4.91,                    !- Vertex 2 Y-coordinate {m}</v>
      </c>
    </row>
    <row r="1244" spans="3:3" x14ac:dyDescent="0.3">
      <c r="C1244" t="str">
        <f>constructions!D115</f>
        <v xml:space="preserve">    0,                       !- Vertex 2 Z-coordinate {m}</v>
      </c>
    </row>
    <row r="1245" spans="3:3" x14ac:dyDescent="0.3">
      <c r="C1245" t="str">
        <f>constructions!D116</f>
        <v xml:space="preserve">    0,                       !- Vertex 3 X-coordinate {m}</v>
      </c>
    </row>
    <row r="1246" spans="3:3" x14ac:dyDescent="0.3">
      <c r="C1246" t="str">
        <f>constructions!D117</f>
        <v xml:space="preserve">    0,                       !- Vertex 3 Y-coordinate {m}</v>
      </c>
    </row>
    <row r="1247" spans="3:3" x14ac:dyDescent="0.3">
      <c r="C1247" t="str">
        <f>constructions!D118</f>
        <v xml:space="preserve">    0,                       !- Vertex 3 Z-coordinate {m}</v>
      </c>
    </row>
    <row r="1248" spans="3:3" x14ac:dyDescent="0.3">
      <c r="C1248" t="str">
        <f>constructions!D119</f>
        <v xml:space="preserve">    0,                       !- Vertex 4 X-coordinate {m}</v>
      </c>
    </row>
    <row r="1249" spans="3:3" x14ac:dyDescent="0.3">
      <c r="C1249" t="str">
        <f>constructions!D120</f>
        <v xml:space="preserve">    0,                       !- Vertex 4 Y-coordinate {m}</v>
      </c>
    </row>
    <row r="1250" spans="3:3" x14ac:dyDescent="0.3">
      <c r="C1250" t="str">
        <f>constructions!D121</f>
        <v xml:space="preserve">    2.7;                     !- Vertex 4 Z-coordinate {m}</v>
      </c>
    </row>
    <row r="1251" spans="3:3" x14ac:dyDescent="0.3">
      <c r="C1251" t="str">
        <f>constructions!D122</f>
        <v/>
      </c>
    </row>
    <row r="1252" spans="3:3" x14ac:dyDescent="0.3">
      <c r="C1252" t="str">
        <f>constructions!D123</f>
        <v>BuildingSurface:Detailed,</v>
      </c>
    </row>
    <row r="1253" spans="3:3" x14ac:dyDescent="0.3">
      <c r="C1253" t="str">
        <f>constructions!D124</f>
        <v xml:space="preserve">    ParedeSalaSul,           !- Name</v>
      </c>
    </row>
    <row r="1254" spans="3:3" x14ac:dyDescent="0.3">
      <c r="C1254" t="str">
        <f>constructions!D125</f>
        <v xml:space="preserve">    Wall,                    !- Surface Type</v>
      </c>
    </row>
    <row r="1255" spans="3:3" x14ac:dyDescent="0.3">
      <c r="C1255" t="str">
        <f>constructions!D126</f>
        <v>Parede  Tijolo cerâmico 9x14x24 c/ argamassa int e ext,!- Construction Name</v>
      </c>
    </row>
    <row r="1256" spans="3:3" x14ac:dyDescent="0.3">
      <c r="C1256" t="str">
        <f>constructions!D127</f>
        <v xml:space="preserve">    Sala,                    !- Zone Name</v>
      </c>
    </row>
    <row r="1257" spans="3:3" x14ac:dyDescent="0.3">
      <c r="C1257" t="str">
        <f>constructions!D128</f>
        <v xml:space="preserve">    Outdoors,                !- Outside Boundary Condition</v>
      </c>
    </row>
    <row r="1258" spans="3:3" x14ac:dyDescent="0.3">
      <c r="C1258" t="str">
        <f>constructions!D129</f>
        <v xml:space="preserve">    ,                        !- Outside Boundary Condition Object</v>
      </c>
    </row>
    <row r="1259" spans="3:3" x14ac:dyDescent="0.3">
      <c r="C1259" t="str">
        <f>constructions!D130</f>
        <v xml:space="preserve">    SunExposed,              !- Sun Exposure</v>
      </c>
    </row>
    <row r="1260" spans="3:3" x14ac:dyDescent="0.3">
      <c r="C1260" t="str">
        <f>constructions!D131</f>
        <v xml:space="preserve">    WindExposed,             !- Wind Exposure</v>
      </c>
    </row>
    <row r="1261" spans="3:3" x14ac:dyDescent="0.3">
      <c r="C1261" t="str">
        <f>constructions!D132</f>
        <v xml:space="preserve">    ,                        !- View Factor to Ground</v>
      </c>
    </row>
    <row r="1262" spans="3:3" x14ac:dyDescent="0.3">
      <c r="C1262" t="str">
        <f>constructions!D133</f>
        <v xml:space="preserve">    ,                        !- Number of Vertices</v>
      </c>
    </row>
    <row r="1263" spans="3:3" x14ac:dyDescent="0.3">
      <c r="C1263" t="str">
        <f>constructions!D134</f>
        <v xml:space="preserve">    0,                       !- Vertex 1 X-coordinate {m}</v>
      </c>
    </row>
    <row r="1264" spans="3:3" x14ac:dyDescent="0.3">
      <c r="C1264" t="str">
        <f>constructions!D135</f>
        <v xml:space="preserve">    0,                       !- Vertex 1 Y-coordinate {m}</v>
      </c>
    </row>
    <row r="1265" spans="3:3" x14ac:dyDescent="0.3">
      <c r="C1265" t="str">
        <f>constructions!D136</f>
        <v xml:space="preserve">    2.7,                     !- Vertex 1 Z-coordinate {m}</v>
      </c>
    </row>
    <row r="1266" spans="3:3" x14ac:dyDescent="0.3">
      <c r="C1266" t="str">
        <f>constructions!D137</f>
        <v xml:space="preserve">    0,                       !- Vertex 2 X-coordinate {m}</v>
      </c>
    </row>
    <row r="1267" spans="3:3" x14ac:dyDescent="0.3">
      <c r="C1267" t="str">
        <f>constructions!D138</f>
        <v xml:space="preserve">    0,                       !- Vertex 2 Y-coordinate {m}</v>
      </c>
    </row>
    <row r="1268" spans="3:3" x14ac:dyDescent="0.3">
      <c r="C1268" t="str">
        <f>constructions!D139</f>
        <v xml:space="preserve">    0,                       !- Vertex 2 Z-coordinate {m}</v>
      </c>
    </row>
    <row r="1269" spans="3:3" x14ac:dyDescent="0.3">
      <c r="C1269" t="str">
        <f>constructions!D140</f>
        <v xml:space="preserve">    3.87,                    !- Vertex 3 X-coordinate {m}</v>
      </c>
    </row>
    <row r="1270" spans="3:3" x14ac:dyDescent="0.3">
      <c r="C1270" t="str">
        <f>constructions!D141</f>
        <v xml:space="preserve">    0,                       !- Vertex 3 Y-coordinate {m}</v>
      </c>
    </row>
    <row r="1271" spans="3:3" x14ac:dyDescent="0.3">
      <c r="C1271" t="str">
        <f>constructions!D142</f>
        <v xml:space="preserve">    0,                       !- Vertex 3 Z-coordinate {m}</v>
      </c>
    </row>
    <row r="1272" spans="3:3" x14ac:dyDescent="0.3">
      <c r="C1272" t="str">
        <f>constructions!D143</f>
        <v xml:space="preserve">    3.87,                    !- Vertex 4 X-coordinate {m}</v>
      </c>
    </row>
    <row r="1273" spans="3:3" x14ac:dyDescent="0.3">
      <c r="C1273" t="str">
        <f>constructions!D144</f>
        <v xml:space="preserve">    0,                       !- Vertex 4 Y-coordinate {m}</v>
      </c>
    </row>
    <row r="1274" spans="3:3" x14ac:dyDescent="0.3">
      <c r="C1274" t="str">
        <f>constructions!D145</f>
        <v xml:space="preserve">    2.7;                     !- Vertex 4 Z-coordinate {m}</v>
      </c>
    </row>
    <row r="1275" spans="3:3" x14ac:dyDescent="0.3">
      <c r="C1275" t="str">
        <f>constructions!D146</f>
        <v/>
      </c>
    </row>
    <row r="1276" spans="3:3" x14ac:dyDescent="0.3">
      <c r="C1276" t="str">
        <f>constructions!D147</f>
        <v>BuildingSurface:Detailed,</v>
      </c>
    </row>
    <row r="1277" spans="3:3" x14ac:dyDescent="0.3">
      <c r="C1277" t="str">
        <f>constructions!D148</f>
        <v xml:space="preserve">    Surface 10,              !- Name</v>
      </c>
    </row>
    <row r="1278" spans="3:3" x14ac:dyDescent="0.3">
      <c r="C1278" t="str">
        <f>constructions!D149</f>
        <v xml:space="preserve">    Wall,                    !- Surface Type</v>
      </c>
    </row>
    <row r="1279" spans="3:3" x14ac:dyDescent="0.3">
      <c r="C1279" t="str">
        <f>constructions!D150</f>
        <v>Parede  Tijolo cerâmico 9x14x24 c/ argamassa int e ext,!- Construction Name</v>
      </c>
    </row>
    <row r="1280" spans="3:3" x14ac:dyDescent="0.3">
      <c r="C1280" t="str">
        <f>constructions!D151</f>
        <v xml:space="preserve">    Sala,                    !- Zone Name</v>
      </c>
    </row>
    <row r="1281" spans="3:3" x14ac:dyDescent="0.3">
      <c r="C1281" t="str">
        <f>constructions!D152</f>
        <v xml:space="preserve">    Surface,                 !- Outside Boundary Condition</v>
      </c>
    </row>
    <row r="1282" spans="3:3" x14ac:dyDescent="0.3">
      <c r="C1282" t="str">
        <f>constructions!D153</f>
        <v xml:space="preserve">    ParedeIntBanheiroSala1,  !- Outside Boundary Condition Object</v>
      </c>
    </row>
    <row r="1283" spans="3:3" x14ac:dyDescent="0.3">
      <c r="C1283" t="str">
        <f>constructions!D154</f>
        <v xml:space="preserve">    NoSun,                   !- Sun Exposure</v>
      </c>
    </row>
    <row r="1284" spans="3:3" x14ac:dyDescent="0.3">
      <c r="C1284" t="str">
        <f>constructions!D155</f>
        <v xml:space="preserve">    NoWind,                  !- Wind Exposure</v>
      </c>
    </row>
    <row r="1285" spans="3:3" x14ac:dyDescent="0.3">
      <c r="C1285" t="str">
        <f>constructions!D156</f>
        <v xml:space="preserve">    ,                        !- View Factor to Ground</v>
      </c>
    </row>
    <row r="1286" spans="3:3" x14ac:dyDescent="0.3">
      <c r="C1286" t="str">
        <f>constructions!D157</f>
        <v xml:space="preserve">    ,                        !- Number of Vertices</v>
      </c>
    </row>
    <row r="1287" spans="3:3" x14ac:dyDescent="0.3">
      <c r="C1287" t="str">
        <f>constructions!D158</f>
        <v xml:space="preserve">    2.66,                    !- Vertex 1 X-coordinate {m}</v>
      </c>
    </row>
    <row r="1288" spans="3:3" x14ac:dyDescent="0.3">
      <c r="C1288" t="str">
        <f>constructions!D159</f>
        <v xml:space="preserve">    4.91,                    !- Vertex 1 Y-coordinate {m}</v>
      </c>
    </row>
    <row r="1289" spans="3:3" x14ac:dyDescent="0.3">
      <c r="C1289" t="str">
        <f>constructions!D160</f>
        <v xml:space="preserve">    2.7,                     !- Vertex 1 Z-coordinate {m}</v>
      </c>
    </row>
    <row r="1290" spans="3:3" x14ac:dyDescent="0.3">
      <c r="C1290" t="str">
        <f>constructions!D161</f>
        <v xml:space="preserve">    2.66,                    !- Vertex 2 X-coordinate {m}</v>
      </c>
    </row>
    <row r="1291" spans="3:3" x14ac:dyDescent="0.3">
      <c r="C1291" t="str">
        <f>constructions!D162</f>
        <v xml:space="preserve">    4.91,                    !- Vertex 2 Y-coordinate {m}</v>
      </c>
    </row>
    <row r="1292" spans="3:3" x14ac:dyDescent="0.3">
      <c r="C1292" t="str">
        <f>constructions!D163</f>
        <v xml:space="preserve">    0,                       !- Vertex 2 Z-coordinate {m}</v>
      </c>
    </row>
    <row r="1293" spans="3:3" x14ac:dyDescent="0.3">
      <c r="C1293" t="str">
        <f>constructions!D164</f>
        <v xml:space="preserve">    0,                       !- Vertex 3 X-coordinate {m}</v>
      </c>
    </row>
    <row r="1294" spans="3:3" x14ac:dyDescent="0.3">
      <c r="C1294" t="str">
        <f>constructions!D165</f>
        <v xml:space="preserve">    4.91,                    !- Vertex 3 Y-coordinate {m}</v>
      </c>
    </row>
    <row r="1295" spans="3:3" x14ac:dyDescent="0.3">
      <c r="C1295" t="str">
        <f>constructions!D166</f>
        <v xml:space="preserve">    0,                       !- Vertex 3 Z-coordinate {m}</v>
      </c>
    </row>
    <row r="1296" spans="3:3" x14ac:dyDescent="0.3">
      <c r="C1296" t="str">
        <f>constructions!D167</f>
        <v xml:space="preserve">    0,                       !- Vertex 4 X-coordinate {m}</v>
      </c>
    </row>
    <row r="1297" spans="3:3" x14ac:dyDescent="0.3">
      <c r="C1297" t="str">
        <f>constructions!D168</f>
        <v xml:space="preserve">    4.91,                    !- Vertex 4 Y-coordinate {m}</v>
      </c>
    </row>
    <row r="1298" spans="3:3" x14ac:dyDescent="0.3">
      <c r="C1298" t="str">
        <f>constructions!D169</f>
        <v xml:space="preserve">    2.7;                     !- Vertex 4 Z-coordinate {m}</v>
      </c>
    </row>
    <row r="1299" spans="3:3" x14ac:dyDescent="0.3">
      <c r="C1299" t="str">
        <f>constructions!D170</f>
        <v/>
      </c>
    </row>
    <row r="1300" spans="3:3" x14ac:dyDescent="0.3">
      <c r="C1300" t="str">
        <f>constructions!D171</f>
        <v>BuildingSurface:Detailed,</v>
      </c>
    </row>
    <row r="1301" spans="3:3" x14ac:dyDescent="0.3">
      <c r="C1301" t="str">
        <f>constructions!D172</f>
        <v xml:space="preserve">    Surface 11,              !- Name</v>
      </c>
    </row>
    <row r="1302" spans="3:3" x14ac:dyDescent="0.3">
      <c r="C1302" t="str">
        <f>constructions!D173</f>
        <v xml:space="preserve">    Wall,                    !- Surface Type</v>
      </c>
    </row>
    <row r="1303" spans="3:3" x14ac:dyDescent="0.3">
      <c r="C1303" t="str">
        <f>constructions!D174</f>
        <v>Parede  Tijolo cerâmico 9x14x24 c/ argamassa int e ext,!- Construction Name</v>
      </c>
    </row>
    <row r="1304" spans="3:3" x14ac:dyDescent="0.3">
      <c r="C1304" t="str">
        <f>constructions!D175</f>
        <v xml:space="preserve">    Sala,                    !- Zone Name</v>
      </c>
    </row>
    <row r="1305" spans="3:3" x14ac:dyDescent="0.3">
      <c r="C1305" t="str">
        <f>constructions!D176</f>
        <v xml:space="preserve">    Surface,                 !- Outside Boundary Condition</v>
      </c>
    </row>
    <row r="1306" spans="3:3" x14ac:dyDescent="0.3">
      <c r="C1306" t="str">
        <f>constructions!D177</f>
        <v xml:space="preserve">    ParedeIntBanheiroSala2,  !- Outside Boundary Condition Object</v>
      </c>
    </row>
    <row r="1307" spans="3:3" x14ac:dyDescent="0.3">
      <c r="C1307" t="str">
        <f>constructions!D178</f>
        <v xml:space="preserve">    NoSun,                   !- Sun Exposure</v>
      </c>
    </row>
    <row r="1308" spans="3:3" x14ac:dyDescent="0.3">
      <c r="C1308" t="str">
        <f>constructions!D179</f>
        <v xml:space="preserve">    NoWind,                  !- Wind Exposure</v>
      </c>
    </row>
    <row r="1309" spans="3:3" x14ac:dyDescent="0.3">
      <c r="C1309" t="str">
        <f>constructions!D180</f>
        <v xml:space="preserve">    ,                        !- View Factor to Ground</v>
      </c>
    </row>
    <row r="1310" spans="3:3" x14ac:dyDescent="0.3">
      <c r="C1310" t="str">
        <f>constructions!D181</f>
        <v xml:space="preserve">    ,                        !- Number of Vertices</v>
      </c>
    </row>
    <row r="1311" spans="3:3" x14ac:dyDescent="0.3">
      <c r="C1311" t="str">
        <f>constructions!D182</f>
        <v xml:space="preserve">    2.66,                    !- Vertex 1 X-coordinate {m}</v>
      </c>
    </row>
    <row r="1312" spans="3:3" x14ac:dyDescent="0.3">
      <c r="C1312" t="str">
        <f>constructions!D183</f>
        <v xml:space="preserve">    6.73,                    !- Vertex 1 Y-coordinate {m}</v>
      </c>
    </row>
    <row r="1313" spans="3:3" x14ac:dyDescent="0.3">
      <c r="C1313" t="str">
        <f>constructions!D184</f>
        <v xml:space="preserve">    2.7,                     !- Vertex 1 Z-coordinate {m}</v>
      </c>
    </row>
    <row r="1314" spans="3:3" x14ac:dyDescent="0.3">
      <c r="C1314" t="str">
        <f>constructions!D185</f>
        <v xml:space="preserve">    2.66,                    !- Vertex 2 X-coordinate {m}</v>
      </c>
    </row>
    <row r="1315" spans="3:3" x14ac:dyDescent="0.3">
      <c r="C1315" t="str">
        <f>constructions!D186</f>
        <v xml:space="preserve">    6.73,                    !- Vertex 2 Y-coordinate {m}</v>
      </c>
    </row>
    <row r="1316" spans="3:3" x14ac:dyDescent="0.3">
      <c r="C1316" t="str">
        <f>constructions!D187</f>
        <v xml:space="preserve">    0,                       !- Vertex 2 Z-coordinate {m}</v>
      </c>
    </row>
    <row r="1317" spans="3:3" x14ac:dyDescent="0.3">
      <c r="C1317" t="str">
        <f>constructions!D188</f>
        <v xml:space="preserve">    2.66,                    !- Vertex 3 X-coordinate {m}</v>
      </c>
    </row>
    <row r="1318" spans="3:3" x14ac:dyDescent="0.3">
      <c r="C1318" t="str">
        <f>constructions!D189</f>
        <v xml:space="preserve">    4.91,                    !- Vertex 3 Y-coordinate {m}</v>
      </c>
    </row>
    <row r="1319" spans="3:3" x14ac:dyDescent="0.3">
      <c r="C1319" t="str">
        <f>constructions!D190</f>
        <v xml:space="preserve">    0,                       !- Vertex 3 Z-coordinate {m}</v>
      </c>
    </row>
    <row r="1320" spans="3:3" x14ac:dyDescent="0.3">
      <c r="C1320" t="str">
        <f>constructions!D191</f>
        <v xml:space="preserve">    2.66,                    !- Vertex 4 X-coordinate {m}</v>
      </c>
    </row>
    <row r="1321" spans="3:3" x14ac:dyDescent="0.3">
      <c r="C1321" t="str">
        <f>constructions!D192</f>
        <v xml:space="preserve">    4.91,                    !- Vertex 4 Y-coordinate {m}</v>
      </c>
    </row>
    <row r="1322" spans="3:3" x14ac:dyDescent="0.3">
      <c r="C1322" t="str">
        <f>constructions!D193</f>
        <v xml:space="preserve">    2.7;                     !- Vertex 4 Z-coordinate {m}</v>
      </c>
    </row>
    <row r="1323" spans="3:3" x14ac:dyDescent="0.3">
      <c r="C1323" t="str">
        <f>constructions!D194</f>
        <v/>
      </c>
    </row>
    <row r="1324" spans="3:3" x14ac:dyDescent="0.3">
      <c r="C1324" t="str">
        <f>constructions!D195</f>
        <v>BuildingSurface:Detailed,</v>
      </c>
    </row>
    <row r="1325" spans="3:3" x14ac:dyDescent="0.3">
      <c r="C1325" t="str">
        <f>constructions!D196</f>
        <v xml:space="preserve">    Surface 30,              !- Name</v>
      </c>
    </row>
    <row r="1326" spans="3:3" x14ac:dyDescent="0.3">
      <c r="C1326" t="str">
        <f>constructions!D197</f>
        <v xml:space="preserve">    Wall,                    !- Surface Type</v>
      </c>
    </row>
    <row r="1327" spans="3:3" x14ac:dyDescent="0.3">
      <c r="C1327" t="str">
        <f>constructions!D198</f>
        <v>Parede  Tijolo cerâmico 9x14x24 c/ argamassa int e ext,!- Construction Name</v>
      </c>
    </row>
    <row r="1328" spans="3:3" x14ac:dyDescent="0.3">
      <c r="C1328" t="str">
        <f>constructions!D199</f>
        <v xml:space="preserve">    Sala,                    !- Zone Name</v>
      </c>
    </row>
    <row r="1329" spans="3:3" x14ac:dyDescent="0.3">
      <c r="C1329" t="str">
        <f>constructions!D200</f>
        <v xml:space="preserve">    Outdoors,                !- Outside Boundary Condition</v>
      </c>
    </row>
    <row r="1330" spans="3:3" x14ac:dyDescent="0.3">
      <c r="C1330" t="str">
        <f>constructions!D201</f>
        <v xml:space="preserve">    ,                        !- Outside Boundary Condition Object</v>
      </c>
    </row>
    <row r="1331" spans="3:3" x14ac:dyDescent="0.3">
      <c r="C1331" t="str">
        <f>constructions!D202</f>
        <v xml:space="preserve">    SunExposed,              !- Sun Exposure</v>
      </c>
    </row>
    <row r="1332" spans="3:3" x14ac:dyDescent="0.3">
      <c r="C1332" t="str">
        <f>constructions!D203</f>
        <v xml:space="preserve">    WindExposed,             !- Wind Exposure</v>
      </c>
    </row>
    <row r="1333" spans="3:3" x14ac:dyDescent="0.3">
      <c r="C1333" t="str">
        <f>constructions!D204</f>
        <v xml:space="preserve">    ,                        !- View Factor to Ground</v>
      </c>
    </row>
    <row r="1334" spans="3:3" x14ac:dyDescent="0.3">
      <c r="C1334" t="str">
        <f>constructions!D205</f>
        <v xml:space="preserve">    ,                        !- Number of Vertices</v>
      </c>
    </row>
    <row r="1335" spans="3:3" x14ac:dyDescent="0.3">
      <c r="C1335" t="str">
        <f>constructions!D206</f>
        <v xml:space="preserve">    2.66,                    !- Vertex 1 X-coordinate {m}</v>
      </c>
    </row>
    <row r="1336" spans="3:3" x14ac:dyDescent="0.3">
      <c r="C1336" t="str">
        <f>constructions!D207</f>
        <v xml:space="preserve">    6.73,                    !- Vertex 1 Y-coordinate {m}</v>
      </c>
    </row>
    <row r="1337" spans="3:3" x14ac:dyDescent="0.3">
      <c r="C1337" t="str">
        <f>constructions!D208</f>
        <v xml:space="preserve">    2.7,                     !- Vertex 1 Z-coordinate {m}</v>
      </c>
    </row>
    <row r="1338" spans="3:3" x14ac:dyDescent="0.3">
      <c r="C1338" t="str">
        <f>constructions!D209</f>
        <v xml:space="preserve">    2.66,                    !- Vertex 2 X-coordinate {m}</v>
      </c>
    </row>
    <row r="1339" spans="3:3" x14ac:dyDescent="0.3">
      <c r="C1339" t="str">
        <f>constructions!D210</f>
        <v xml:space="preserve">    6.73,                    !- Vertex 2 Y-coordinate {m}</v>
      </c>
    </row>
    <row r="1340" spans="3:3" x14ac:dyDescent="0.3">
      <c r="C1340" t="str">
        <f>constructions!D211</f>
        <v xml:space="preserve">    0,                       !- Vertex 2 Z-coordinate {m}</v>
      </c>
    </row>
    <row r="1341" spans="3:3" x14ac:dyDescent="0.3">
      <c r="C1341" t="str">
        <f>constructions!D212</f>
        <v xml:space="preserve">    2.66,                    !- Vertex 3 X-coordinate {m}</v>
      </c>
    </row>
    <row r="1342" spans="3:3" x14ac:dyDescent="0.3">
      <c r="C1342" t="str">
        <f>constructions!D213</f>
        <v xml:space="preserve">    4.91,                    !- Vertex 3 Y-coordinate {m}</v>
      </c>
    </row>
    <row r="1343" spans="3:3" x14ac:dyDescent="0.3">
      <c r="C1343" t="str">
        <f>constructions!D214</f>
        <v xml:space="preserve">    0,                       !- Vertex 3 Z-coordinate {m}</v>
      </c>
    </row>
    <row r="1344" spans="3:3" x14ac:dyDescent="0.3">
      <c r="C1344" t="str">
        <f>constructions!D215</f>
        <v xml:space="preserve">    2.66,                    !- Vertex 4 X-coordinate {m}</v>
      </c>
    </row>
    <row r="1345" spans="3:3" x14ac:dyDescent="0.3">
      <c r="C1345" t="str">
        <f>constructions!D216</f>
        <v xml:space="preserve">    4.91,                    !- Vertex 4 Y-coordinate {m}</v>
      </c>
    </row>
    <row r="1346" spans="3:3" x14ac:dyDescent="0.3">
      <c r="C1346" t="str">
        <f>constructions!D217</f>
        <v xml:space="preserve">    2.7;                     !- Vertex 4 Z-coordinate {m}</v>
      </c>
    </row>
    <row r="1347" spans="3:3" x14ac:dyDescent="0.3">
      <c r="C1347" t="str">
        <f>constructions!D218</f>
        <v/>
      </c>
    </row>
    <row r="1348" spans="3:3" x14ac:dyDescent="0.3">
      <c r="C1348" t="str">
        <f>constructions!D219</f>
        <v>BuildingSurface:Detailed,</v>
      </c>
    </row>
    <row r="1349" spans="3:3" x14ac:dyDescent="0.3">
      <c r="C1349" t="str">
        <f>constructions!D220</f>
        <v xml:space="preserve">    Surface 7,               !- Name</v>
      </c>
    </row>
    <row r="1350" spans="3:3" x14ac:dyDescent="0.3">
      <c r="C1350" t="str">
        <f>constructions!D221</f>
        <v xml:space="preserve">    Floor,                   !- Surface Type</v>
      </c>
    </row>
    <row r="1351" spans="3:3" x14ac:dyDescent="0.3">
      <c r="C1351" t="str">
        <f>constructions!D222</f>
        <v xml:space="preserve">    Laje protendida alveolar,!- Construction Name</v>
      </c>
    </row>
    <row r="1352" spans="3:3" x14ac:dyDescent="0.3">
      <c r="C1352" t="str">
        <f>constructions!D223</f>
        <v xml:space="preserve">    Sala,                    !- Zone Name</v>
      </c>
    </row>
    <row r="1353" spans="3:3" x14ac:dyDescent="0.3">
      <c r="C1353" t="str">
        <f>constructions!D224</f>
        <v xml:space="preserve">    Ground,                  !- Outside Boundary Condition</v>
      </c>
    </row>
    <row r="1354" spans="3:3" x14ac:dyDescent="0.3">
      <c r="C1354" t="str">
        <f>constructions!D225</f>
        <v xml:space="preserve">    ,                        !- Outside Boundary Condition Object</v>
      </c>
    </row>
    <row r="1355" spans="3:3" x14ac:dyDescent="0.3">
      <c r="C1355" t="str">
        <f>constructions!D226</f>
        <v xml:space="preserve">    NoSun,                   !- Sun Exposure</v>
      </c>
    </row>
    <row r="1356" spans="3:3" x14ac:dyDescent="0.3">
      <c r="C1356" t="str">
        <f>constructions!D227</f>
        <v xml:space="preserve">    NoWind,                  !- Wind Exposure</v>
      </c>
    </row>
    <row r="1357" spans="3:3" x14ac:dyDescent="0.3">
      <c r="C1357" t="str">
        <f>constructions!D228</f>
        <v xml:space="preserve">    ,                        !- View Factor to Ground</v>
      </c>
    </row>
    <row r="1358" spans="3:3" x14ac:dyDescent="0.3">
      <c r="C1358" t="str">
        <f>constructions!D229</f>
        <v xml:space="preserve">    ,                        !- Number of Vertices</v>
      </c>
    </row>
    <row r="1359" spans="3:3" x14ac:dyDescent="0.3">
      <c r="C1359" t="str">
        <f>constructions!D230</f>
        <v xml:space="preserve">    3.87,                    !- Vertex 1 X-coordinate {m}</v>
      </c>
    </row>
    <row r="1360" spans="3:3" x14ac:dyDescent="0.3">
      <c r="C1360" t="str">
        <f>constructions!D231</f>
        <v xml:space="preserve">    6.73,                    !- Vertex 1 Y-coordinate {m}</v>
      </c>
    </row>
    <row r="1361" spans="3:3" x14ac:dyDescent="0.3">
      <c r="C1361" t="str">
        <f>constructions!D232</f>
        <v xml:space="preserve">    0,                       !- Vertex 1 Z-coordinate {m}</v>
      </c>
    </row>
    <row r="1362" spans="3:3" x14ac:dyDescent="0.3">
      <c r="C1362" t="str">
        <f>constructions!D233</f>
        <v xml:space="preserve">    3.87,                    !- Vertex 2 X-coordinate {m}</v>
      </c>
    </row>
    <row r="1363" spans="3:3" x14ac:dyDescent="0.3">
      <c r="C1363" t="str">
        <f>constructions!D234</f>
        <v xml:space="preserve">    0,                       !- Vertex 2 Y-coordinate {m}</v>
      </c>
    </row>
    <row r="1364" spans="3:3" x14ac:dyDescent="0.3">
      <c r="C1364" t="str">
        <f>constructions!D235</f>
        <v xml:space="preserve">    0,                       !- Vertex 2 Z-coordinate {m}</v>
      </c>
    </row>
    <row r="1365" spans="3:3" x14ac:dyDescent="0.3">
      <c r="C1365" t="str">
        <f>constructions!D236</f>
        <v xml:space="preserve">    0,                       !- Vertex 3 X-coordinate {m}</v>
      </c>
    </row>
    <row r="1366" spans="3:3" x14ac:dyDescent="0.3">
      <c r="C1366" t="str">
        <f>constructions!D237</f>
        <v xml:space="preserve">    0,                       !- Vertex 3 Y-coordinate {m}</v>
      </c>
    </row>
    <row r="1367" spans="3:3" x14ac:dyDescent="0.3">
      <c r="C1367" t="str">
        <f>constructions!D238</f>
        <v xml:space="preserve">    0,                       !- Vertex 3 Z-coordinate {m}</v>
      </c>
    </row>
    <row r="1368" spans="3:3" x14ac:dyDescent="0.3">
      <c r="C1368" t="str">
        <f>constructions!D239</f>
        <v xml:space="preserve">    0,                       !- Vertex 4 X-coordinate {m}</v>
      </c>
    </row>
    <row r="1369" spans="3:3" x14ac:dyDescent="0.3">
      <c r="C1369" t="str">
        <f>constructions!D240</f>
        <v xml:space="preserve">    4.91,                    !- Vertex 4 Y-coordinate {m}</v>
      </c>
    </row>
    <row r="1370" spans="3:3" x14ac:dyDescent="0.3">
      <c r="C1370" t="str">
        <f>constructions!D241</f>
        <v xml:space="preserve">    0,                       !- Vertex 4 Z-coordinate {m}</v>
      </c>
    </row>
    <row r="1371" spans="3:3" x14ac:dyDescent="0.3">
      <c r="C1371" t="str">
        <f>constructions!D242</f>
        <v xml:space="preserve">    2.66,                    !- Vertex 5 X-coordinate {m}</v>
      </c>
    </row>
    <row r="1372" spans="3:3" x14ac:dyDescent="0.3">
      <c r="C1372" t="str">
        <f>constructions!D243</f>
        <v xml:space="preserve">    4.91,                    !- Vertex 5 Y-coordinate {m}</v>
      </c>
    </row>
    <row r="1373" spans="3:3" x14ac:dyDescent="0.3">
      <c r="C1373" t="str">
        <f>constructions!D244</f>
        <v xml:space="preserve">    0,                       !- Vertex 5 Z-coordinate {m}</v>
      </c>
    </row>
    <row r="1374" spans="3:3" x14ac:dyDescent="0.3">
      <c r="C1374" t="str">
        <f>constructions!D245</f>
        <v xml:space="preserve">    2.66,                    !- Vertex 6 X-coordinate {m}</v>
      </c>
    </row>
    <row r="1375" spans="3:3" x14ac:dyDescent="0.3">
      <c r="C1375" t="str">
        <f>constructions!D246</f>
        <v xml:space="preserve">    6.73,                    !- Vertex 6 Y-coordinate {m}</v>
      </c>
    </row>
    <row r="1376" spans="3:3" x14ac:dyDescent="0.3">
      <c r="C1376" t="str">
        <f>constructions!D247</f>
        <v xml:space="preserve">    0;                       !- Vertex 6 Z-coordinate {m}</v>
      </c>
    </row>
    <row r="1377" spans="3:3" x14ac:dyDescent="0.3">
      <c r="C1377" t="str">
        <f>constructions!D248</f>
        <v/>
      </c>
    </row>
    <row r="1378" spans="3:3" x14ac:dyDescent="0.3">
      <c r="C1378" t="str">
        <f>constructions!D249</f>
        <v>BuildingSurface:Detailed,</v>
      </c>
    </row>
    <row r="1379" spans="3:3" x14ac:dyDescent="0.3">
      <c r="C1379" t="str">
        <f>constructions!D250</f>
        <v xml:space="preserve">    Surface 8,               !- Name</v>
      </c>
    </row>
    <row r="1380" spans="3:3" x14ac:dyDescent="0.3">
      <c r="C1380" t="str">
        <f>constructions!D251</f>
        <v xml:space="preserve">    Ceiling,                 !- Surface Type</v>
      </c>
    </row>
    <row r="1381" spans="3:3" x14ac:dyDescent="0.3">
      <c r="C1381" t="str">
        <f>constructions!D252</f>
        <v>Forro PVC,               !- Construction Name</v>
      </c>
    </row>
    <row r="1382" spans="3:3" x14ac:dyDescent="0.3">
      <c r="C1382" t="str">
        <f>constructions!D253</f>
        <v xml:space="preserve">    Sala,                    !- Zone Name</v>
      </c>
    </row>
    <row r="1383" spans="3:3" x14ac:dyDescent="0.3">
      <c r="C1383" t="str">
        <f>constructions!D254</f>
        <v xml:space="preserve">    Surface,                 !- Outside Boundary Condition</v>
      </c>
    </row>
    <row r="1384" spans="3:3" x14ac:dyDescent="0.3">
      <c r="C1384" t="str">
        <f>constructions!D255</f>
        <v xml:space="preserve">    Forro2,                  !- Outside Boundary Condition Object</v>
      </c>
    </row>
    <row r="1385" spans="3:3" x14ac:dyDescent="0.3">
      <c r="C1385" t="str">
        <f>constructions!D256</f>
        <v xml:space="preserve">    NoSun,                   !- Sun Exposure</v>
      </c>
    </row>
    <row r="1386" spans="3:3" x14ac:dyDescent="0.3">
      <c r="C1386" t="str">
        <f>constructions!D257</f>
        <v xml:space="preserve">    NoWind,                  !- Wind Exposure</v>
      </c>
    </row>
    <row r="1387" spans="3:3" x14ac:dyDescent="0.3">
      <c r="C1387" t="str">
        <f>constructions!D258</f>
        <v xml:space="preserve">    ,                        !- View Factor to Ground</v>
      </c>
    </row>
    <row r="1388" spans="3:3" x14ac:dyDescent="0.3">
      <c r="C1388" t="str">
        <f>constructions!D259</f>
        <v xml:space="preserve">    ,                        !- Number of Vertices</v>
      </c>
    </row>
    <row r="1389" spans="3:3" x14ac:dyDescent="0.3">
      <c r="C1389" t="str">
        <f>constructions!D260</f>
        <v xml:space="preserve">    3.87,                    !- Vertex 1 X-coordinate {m}</v>
      </c>
    </row>
    <row r="1390" spans="3:3" x14ac:dyDescent="0.3">
      <c r="C1390" t="str">
        <f>constructions!D261</f>
        <v xml:space="preserve">    0,                       !- Vertex 1 Y-coordinate {m}</v>
      </c>
    </row>
    <row r="1391" spans="3:3" x14ac:dyDescent="0.3">
      <c r="C1391" t="str">
        <f>constructions!D262</f>
        <v xml:space="preserve">    2.7,                     !- Vertex 1 Z-coordinate {m}</v>
      </c>
    </row>
    <row r="1392" spans="3:3" x14ac:dyDescent="0.3">
      <c r="C1392" t="str">
        <f>constructions!D263</f>
        <v xml:space="preserve">    3.87,                    !- Vertex 2 X-coordinate {m}</v>
      </c>
    </row>
    <row r="1393" spans="3:3" x14ac:dyDescent="0.3">
      <c r="C1393" t="str">
        <f>constructions!D264</f>
        <v xml:space="preserve">    6.73,                    !- Vertex 2 Y-coordinate {m}</v>
      </c>
    </row>
    <row r="1394" spans="3:3" x14ac:dyDescent="0.3">
      <c r="C1394" t="str">
        <f>constructions!D265</f>
        <v xml:space="preserve">    2.7,                     !- Vertex 2 Z-coordinate {m}</v>
      </c>
    </row>
    <row r="1395" spans="3:3" x14ac:dyDescent="0.3">
      <c r="C1395" t="str">
        <f>constructions!D266</f>
        <v xml:space="preserve">    3.295,                   !- Vertex 3 X-coordinate {m}</v>
      </c>
    </row>
    <row r="1396" spans="3:3" x14ac:dyDescent="0.3">
      <c r="C1396" t="str">
        <f>constructions!D267</f>
        <v xml:space="preserve">    6.73,                    !- Vertex 3 Y-coordinate {m}</v>
      </c>
    </row>
    <row r="1397" spans="3:3" x14ac:dyDescent="0.3">
      <c r="C1397" t="str">
        <f>constructions!D268</f>
        <v xml:space="preserve">    2.7,                     !- Vertex 3 Z-coordinate {m}</v>
      </c>
    </row>
    <row r="1398" spans="3:3" x14ac:dyDescent="0.3">
      <c r="C1398" t="str">
        <f>constructions!D269</f>
        <v xml:space="preserve">    3.295,                   !- Vertex 4 X-coordinate {m}</v>
      </c>
    </row>
    <row r="1399" spans="3:3" x14ac:dyDescent="0.3">
      <c r="C1399" t="str">
        <f>constructions!D270</f>
        <v xml:space="preserve">    0,                       !- Vertex 4 Y-coordinate {m}</v>
      </c>
    </row>
    <row r="1400" spans="3:3" x14ac:dyDescent="0.3">
      <c r="C1400" t="str">
        <f>constructions!D271</f>
        <v xml:space="preserve">    2.7;                     !- Vertex 4 Z-coordinate {m}</v>
      </c>
    </row>
    <row r="1401" spans="3:3" x14ac:dyDescent="0.3">
      <c r="C1401" t="str">
        <f>constructions!D272</f>
        <v/>
      </c>
    </row>
    <row r="1402" spans="3:3" x14ac:dyDescent="0.3">
      <c r="C1402" t="str">
        <f>constructions!D273</f>
        <v>BuildingSurface:Detailed,</v>
      </c>
    </row>
    <row r="1403" spans="3:3" x14ac:dyDescent="0.3">
      <c r="C1403" t="str">
        <f>constructions!D274</f>
        <v xml:space="preserve">    ParedeIntQuarto1Quarto2, !- Name</v>
      </c>
    </row>
    <row r="1404" spans="3:3" x14ac:dyDescent="0.3">
      <c r="C1404" t="str">
        <f>constructions!D275</f>
        <v xml:space="preserve">    Wall,                    !- Surface Type</v>
      </c>
    </row>
    <row r="1405" spans="3:3" x14ac:dyDescent="0.3">
      <c r="C1405" t="str">
        <f>constructions!D276</f>
        <v>Parede  Tijolo cerâmico 9x14x24 c/ argamassa int e ext,!- Construction Name</v>
      </c>
    </row>
    <row r="1406" spans="3:3" x14ac:dyDescent="0.3">
      <c r="C1406" t="str">
        <f>constructions!D277</f>
        <v xml:space="preserve">    Quarto1,                 !- Zone Name</v>
      </c>
    </row>
    <row r="1407" spans="3:3" x14ac:dyDescent="0.3">
      <c r="C1407" t="str">
        <f>constructions!D278</f>
        <v xml:space="preserve">    Surface,                 !- Outside Boundary Condition</v>
      </c>
    </row>
    <row r="1408" spans="3:3" x14ac:dyDescent="0.3">
      <c r="C1408" t="str">
        <f>constructions!D279</f>
        <v xml:space="preserve">    ParedeIntQuarto2Quarto1, !- Outside Boundary Condition Object</v>
      </c>
    </row>
    <row r="1409" spans="3:3" x14ac:dyDescent="0.3">
      <c r="C1409" t="str">
        <f>constructions!D280</f>
        <v xml:space="preserve">    NoSun,                   !- Sun Exposure</v>
      </c>
    </row>
    <row r="1410" spans="3:3" x14ac:dyDescent="0.3">
      <c r="C1410" t="str">
        <f>constructions!D281</f>
        <v xml:space="preserve">    NoWind,                  !- Wind Exposure</v>
      </c>
    </row>
    <row r="1411" spans="3:3" x14ac:dyDescent="0.3">
      <c r="C1411" t="str">
        <f>constructions!D282</f>
        <v xml:space="preserve">    ,                        !- View Factor to Ground</v>
      </c>
    </row>
    <row r="1412" spans="3:3" x14ac:dyDescent="0.3">
      <c r="C1412" t="str">
        <f>constructions!D283</f>
        <v xml:space="preserve">    ,                        !- Number of Vertices</v>
      </c>
    </row>
    <row r="1413" spans="3:3" x14ac:dyDescent="0.3">
      <c r="C1413" t="str">
        <f>constructions!D284</f>
        <v xml:space="preserve">    2.71999999999999,        !- Vertex 1 X-coordinate {m}</v>
      </c>
    </row>
    <row r="1414" spans="3:3" x14ac:dyDescent="0.3">
      <c r="C1414" t="str">
        <f>constructions!D285</f>
        <v xml:space="preserve">    2.95328087937421,        !- Vertex 1 Y-coordinate {m}</v>
      </c>
    </row>
    <row r="1415" spans="3:3" x14ac:dyDescent="0.3">
      <c r="C1415" t="str">
        <f>constructions!D286</f>
        <v xml:space="preserve">    2.7,                     !- Vertex 1 Z-coordinate {m}</v>
      </c>
    </row>
    <row r="1416" spans="3:3" x14ac:dyDescent="0.3">
      <c r="C1416" t="str">
        <f>constructions!D287</f>
        <v xml:space="preserve">    2.71999999999999,        !- Vertex 2 X-coordinate {m}</v>
      </c>
    </row>
    <row r="1417" spans="3:3" x14ac:dyDescent="0.3">
      <c r="C1417" t="str">
        <f>constructions!D288</f>
        <v xml:space="preserve">    2.95328087937421,        !- Vertex 2 Y-coordinate {m}</v>
      </c>
    </row>
    <row r="1418" spans="3:3" x14ac:dyDescent="0.3">
      <c r="C1418" t="str">
        <f>constructions!D289</f>
        <v xml:space="preserve">    0,                       !- Vertex 2 Z-coordinate {m}</v>
      </c>
    </row>
    <row r="1419" spans="3:3" x14ac:dyDescent="0.3">
      <c r="C1419" t="str">
        <f>constructions!D290</f>
        <v xml:space="preserve">    -4.33146851719357e-015,  !- Vertex 3 X-coordinate {m}</v>
      </c>
    </row>
    <row r="1420" spans="3:3" x14ac:dyDescent="0.3">
      <c r="C1420" t="str">
        <f>constructions!D291</f>
        <v xml:space="preserve">    2.95328087937421,        !- Vertex 3 Y-coordinate {m}</v>
      </c>
    </row>
    <row r="1421" spans="3:3" x14ac:dyDescent="0.3">
      <c r="C1421" t="str">
        <f>constructions!D292</f>
        <v xml:space="preserve">    0,                       !- Vertex 3 Z-coordinate {m}</v>
      </c>
    </row>
    <row r="1422" spans="3:3" x14ac:dyDescent="0.3">
      <c r="C1422" t="str">
        <f>constructions!D293</f>
        <v xml:space="preserve">    -4.33146851719357e-015,  !- Vertex 4 X-coordinate {m}</v>
      </c>
    </row>
    <row r="1423" spans="3:3" x14ac:dyDescent="0.3">
      <c r="C1423" t="str">
        <f>constructions!D294</f>
        <v xml:space="preserve">    2.95328087937421,        !- Vertex 4 Y-coordinate {m}</v>
      </c>
    </row>
    <row r="1424" spans="3:3" x14ac:dyDescent="0.3">
      <c r="C1424" t="str">
        <f>constructions!D295</f>
        <v xml:space="preserve">    2.7;                     !- Vertex 4 Z-coordinate {m}</v>
      </c>
    </row>
    <row r="1425" spans="3:3" x14ac:dyDescent="0.3">
      <c r="C1425" t="str">
        <f>constructions!D296</f>
        <v/>
      </c>
    </row>
    <row r="1426" spans="3:3" x14ac:dyDescent="0.3">
      <c r="C1426" t="str">
        <f>constructions!D297</f>
        <v>BuildingSurface:Detailed,</v>
      </c>
    </row>
    <row r="1427" spans="3:3" x14ac:dyDescent="0.3">
      <c r="C1427" t="str">
        <f>constructions!D298</f>
        <v xml:space="preserve">    ParedeIntQuarto1Sala,    !- Name</v>
      </c>
    </row>
    <row r="1428" spans="3:3" x14ac:dyDescent="0.3">
      <c r="C1428" t="str">
        <f>constructions!D299</f>
        <v xml:space="preserve">    Wall,                    !- Surface Type</v>
      </c>
    </row>
    <row r="1429" spans="3:3" x14ac:dyDescent="0.3">
      <c r="C1429" t="str">
        <f>constructions!D300</f>
        <v>Parede  Tijolo cerâmico 9x14x24 c/ argamassa int e ext,!- Construction Name</v>
      </c>
    </row>
    <row r="1430" spans="3:3" x14ac:dyDescent="0.3">
      <c r="C1430" t="str">
        <f>constructions!D301</f>
        <v xml:space="preserve">    Quarto1,                 !- Zone Name</v>
      </c>
    </row>
    <row r="1431" spans="3:3" x14ac:dyDescent="0.3">
      <c r="C1431" t="str">
        <f>constructions!D302</f>
        <v xml:space="preserve">    Surface,                 !- Outside Boundary Condition</v>
      </c>
    </row>
    <row r="1432" spans="3:3" x14ac:dyDescent="0.3">
      <c r="C1432" t="str">
        <f>constructions!D303</f>
        <v xml:space="preserve">    ParedeIntSalaQuarto1,    !- Outside Boundary Condition Object</v>
      </c>
    </row>
    <row r="1433" spans="3:3" x14ac:dyDescent="0.3">
      <c r="C1433" t="str">
        <f>constructions!D304</f>
        <v xml:space="preserve">    NoSun,                   !- Sun Exposure</v>
      </c>
    </row>
    <row r="1434" spans="3:3" x14ac:dyDescent="0.3">
      <c r="C1434" t="str">
        <f>constructions!D305</f>
        <v xml:space="preserve">    NoWind,                  !- Wind Exposure</v>
      </c>
    </row>
    <row r="1435" spans="3:3" x14ac:dyDescent="0.3">
      <c r="C1435" t="str">
        <f>constructions!D306</f>
        <v xml:space="preserve">    ,                        !- View Factor to Ground</v>
      </c>
    </row>
    <row r="1436" spans="3:3" x14ac:dyDescent="0.3">
      <c r="C1436" t="str">
        <f>constructions!D307</f>
        <v xml:space="preserve">    ,                        !- Number of Vertices</v>
      </c>
    </row>
    <row r="1437" spans="3:3" x14ac:dyDescent="0.3">
      <c r="C1437" t="str">
        <f>constructions!D308</f>
        <v xml:space="preserve">    -4.33146851719357e-015,  !- Vertex 1 X-coordinate {m}</v>
      </c>
    </row>
    <row r="1438" spans="3:3" x14ac:dyDescent="0.3">
      <c r="C1438" t="str">
        <f>constructions!D309</f>
        <v xml:space="preserve">    2.95328087937421,        !- Vertex 1 Y-coordinate {m}</v>
      </c>
    </row>
    <row r="1439" spans="3:3" x14ac:dyDescent="0.3">
      <c r="C1439" t="str">
        <f>constructions!D310</f>
        <v xml:space="preserve">    2.7,                     !- Vertex 1 Z-coordinate {m}</v>
      </c>
    </row>
    <row r="1440" spans="3:3" x14ac:dyDescent="0.3">
      <c r="C1440" t="str">
        <f>constructions!D311</f>
        <v xml:space="preserve">    -4.33146851719357e-015,  !- Vertex 2 X-coordinate {m}</v>
      </c>
    </row>
    <row r="1441" spans="3:3" x14ac:dyDescent="0.3">
      <c r="C1441" t="str">
        <f>constructions!D312</f>
        <v xml:space="preserve">    2.95328087937421,        !- Vertex 2 Y-coordinate {m}</v>
      </c>
    </row>
    <row r="1442" spans="3:3" x14ac:dyDescent="0.3">
      <c r="C1442" t="str">
        <f>constructions!D313</f>
        <v xml:space="preserve">    0,                       !- Vertex 2 Z-coordinate {m}</v>
      </c>
    </row>
    <row r="1443" spans="3:3" x14ac:dyDescent="0.3">
      <c r="C1443" t="str">
        <f>constructions!D314</f>
        <v xml:space="preserve">    -4.33146851719357e-015,  !- Vertex 3 X-coordinate {m}</v>
      </c>
    </row>
    <row r="1444" spans="3:3" x14ac:dyDescent="0.3">
      <c r="C1444" t="str">
        <f>constructions!D315</f>
        <v xml:space="preserve">    3.97051280742744e-015,   !- Vertex 3 Y-coordinate {m}</v>
      </c>
    </row>
    <row r="1445" spans="3:3" x14ac:dyDescent="0.3">
      <c r="C1445" t="str">
        <f>constructions!D316</f>
        <v xml:space="preserve">    0,                       !- Vertex 3 Z-coordinate {m}</v>
      </c>
    </row>
    <row r="1446" spans="3:3" x14ac:dyDescent="0.3">
      <c r="C1446" t="str">
        <f>constructions!D317</f>
        <v xml:space="preserve">    -4.33146851719357e-015,  !- Vertex 4 X-coordinate {m}</v>
      </c>
    </row>
    <row r="1447" spans="3:3" x14ac:dyDescent="0.3">
      <c r="C1447" t="str">
        <f>constructions!D318</f>
        <v xml:space="preserve">    3.97051280742744e-015,   !- Vertex 4 Y-coordinate {m}</v>
      </c>
    </row>
    <row r="1448" spans="3:3" x14ac:dyDescent="0.3">
      <c r="C1448" t="str">
        <f>constructions!D319</f>
        <v xml:space="preserve">    2.7;                     !- Vertex 4 Z-coordinate {m}</v>
      </c>
    </row>
    <row r="1449" spans="3:3" x14ac:dyDescent="0.3">
      <c r="C1449" t="str">
        <f>constructions!D320</f>
        <v/>
      </c>
    </row>
    <row r="1450" spans="3:3" x14ac:dyDescent="0.3">
      <c r="C1450" t="str">
        <f>constructions!D321</f>
        <v>BuildingSurface:Detailed,</v>
      </c>
    </row>
    <row r="1451" spans="3:3" x14ac:dyDescent="0.3">
      <c r="C1451" t="str">
        <f>constructions!D322</f>
        <v xml:space="preserve">    ParedeQuarto1Leste,      !- Name</v>
      </c>
    </row>
    <row r="1452" spans="3:3" x14ac:dyDescent="0.3">
      <c r="C1452" t="str">
        <f>constructions!D323</f>
        <v xml:space="preserve">    Wall,                    !- Surface Type</v>
      </c>
    </row>
    <row r="1453" spans="3:3" x14ac:dyDescent="0.3">
      <c r="C1453" t="str">
        <f>constructions!D324</f>
        <v>Parede  Tijolo cerâmico 9x14x24 c/ argamassa int e ext,!- Construction Name</v>
      </c>
    </row>
    <row r="1454" spans="3:3" x14ac:dyDescent="0.3">
      <c r="C1454" t="str">
        <f>constructions!D325</f>
        <v xml:space="preserve">    Quarto1,                 !- Zone Name</v>
      </c>
    </row>
    <row r="1455" spans="3:3" x14ac:dyDescent="0.3">
      <c r="C1455" t="str">
        <f>constructions!D326</f>
        <v xml:space="preserve">    Outdoors,                !- Outside Boundary Condition</v>
      </c>
    </row>
    <row r="1456" spans="3:3" x14ac:dyDescent="0.3">
      <c r="C1456" t="str">
        <f>constructions!D327</f>
        <v xml:space="preserve">    ,                        !- Outside Boundary Condition Object</v>
      </c>
    </row>
    <row r="1457" spans="3:3" x14ac:dyDescent="0.3">
      <c r="C1457" t="str">
        <f>constructions!D328</f>
        <v xml:space="preserve">    SunExposed,              !- Sun Exposure</v>
      </c>
    </row>
    <row r="1458" spans="3:3" x14ac:dyDescent="0.3">
      <c r="C1458" t="str">
        <f>constructions!D329</f>
        <v xml:space="preserve">    WindExposed,             !- Wind Exposure</v>
      </c>
    </row>
    <row r="1459" spans="3:3" x14ac:dyDescent="0.3">
      <c r="C1459" t="str">
        <f>constructions!D330</f>
        <v xml:space="preserve">    ,                        !- View Factor to Ground</v>
      </c>
    </row>
    <row r="1460" spans="3:3" x14ac:dyDescent="0.3">
      <c r="C1460" t="str">
        <f>constructions!D331</f>
        <v xml:space="preserve">    ,                        !- Number of Vertices</v>
      </c>
    </row>
    <row r="1461" spans="3:3" x14ac:dyDescent="0.3">
      <c r="C1461" t="str">
        <f>constructions!D332</f>
        <v xml:space="preserve">    2.71999999999999,        !- Vertex 1 X-coordinate {m}</v>
      </c>
    </row>
    <row r="1462" spans="3:3" x14ac:dyDescent="0.3">
      <c r="C1462" t="str">
        <f>constructions!D333</f>
        <v xml:space="preserve">    3.97051280742744e-015,   !- Vertex 1 Y-coordinate {m}</v>
      </c>
    </row>
    <row r="1463" spans="3:3" x14ac:dyDescent="0.3">
      <c r="C1463" t="str">
        <f>constructions!D334</f>
        <v xml:space="preserve">    2.7,                     !- Vertex 1 Z-coordinate {m}</v>
      </c>
    </row>
    <row r="1464" spans="3:3" x14ac:dyDescent="0.3">
      <c r="C1464" t="str">
        <f>constructions!D335</f>
        <v xml:space="preserve">    2.71999999999999,        !- Vertex 2 X-coordinate {m}</v>
      </c>
    </row>
    <row r="1465" spans="3:3" x14ac:dyDescent="0.3">
      <c r="C1465" t="str">
        <f>constructions!D336</f>
        <v xml:space="preserve">    3.97051280742744e-015,   !- Vertex 2 Y-coordinate {m}</v>
      </c>
    </row>
    <row r="1466" spans="3:3" x14ac:dyDescent="0.3">
      <c r="C1466" t="str">
        <f>constructions!D337</f>
        <v xml:space="preserve">    0,                       !- Vertex 2 Z-coordinate {m}</v>
      </c>
    </row>
    <row r="1467" spans="3:3" x14ac:dyDescent="0.3">
      <c r="C1467" t="str">
        <f>constructions!D338</f>
        <v xml:space="preserve">    2.71999999999999,        !- Vertex 3 X-coordinate {m}</v>
      </c>
    </row>
    <row r="1468" spans="3:3" x14ac:dyDescent="0.3">
      <c r="C1468" t="str">
        <f>constructions!D339</f>
        <v xml:space="preserve">    2.95328087937421,        !- Vertex 3 Y-coordinate {m}</v>
      </c>
    </row>
    <row r="1469" spans="3:3" x14ac:dyDescent="0.3">
      <c r="C1469" t="str">
        <f>constructions!D340</f>
        <v xml:space="preserve">    0,                       !- Vertex 3 Z-coordinate {m}</v>
      </c>
    </row>
    <row r="1470" spans="3:3" x14ac:dyDescent="0.3">
      <c r="C1470" t="str">
        <f>constructions!D341</f>
        <v xml:space="preserve">    2.71999999999999,        !- Vertex 4 X-coordinate {m}</v>
      </c>
    </row>
    <row r="1471" spans="3:3" x14ac:dyDescent="0.3">
      <c r="C1471" t="str">
        <f>constructions!D342</f>
        <v xml:space="preserve">    2.95328087937421,        !- Vertex 4 Y-coordinate {m}</v>
      </c>
    </row>
    <row r="1472" spans="3:3" x14ac:dyDescent="0.3">
      <c r="C1472" t="str">
        <f>constructions!D343</f>
        <v xml:space="preserve">    2.7;                     !- Vertex 4 Z-coordinate {m}</v>
      </c>
    </row>
    <row r="1473" spans="3:3" x14ac:dyDescent="0.3">
      <c r="C1473" t="str">
        <f>constructions!D344</f>
        <v/>
      </c>
    </row>
    <row r="1474" spans="3:3" x14ac:dyDescent="0.3">
      <c r="C1474" t="str">
        <f>constructions!D345</f>
        <v>BuildingSurface:Detailed,</v>
      </c>
    </row>
    <row r="1475" spans="3:3" x14ac:dyDescent="0.3">
      <c r="C1475" t="str">
        <f>constructions!D346</f>
        <v xml:space="preserve">    ParedeQuarto1Sul,        !- Name</v>
      </c>
    </row>
    <row r="1476" spans="3:3" x14ac:dyDescent="0.3">
      <c r="C1476" t="str">
        <f>constructions!D347</f>
        <v xml:space="preserve">    Wall,                    !- Surface Type</v>
      </c>
    </row>
    <row r="1477" spans="3:3" x14ac:dyDescent="0.3">
      <c r="C1477" t="str">
        <f>constructions!D348</f>
        <v>Parede  Tijolo cerâmico 9x14x24 c/ argamassa int e ext,!- Construction Name</v>
      </c>
    </row>
    <row r="1478" spans="3:3" x14ac:dyDescent="0.3">
      <c r="C1478" t="str">
        <f>constructions!D349</f>
        <v xml:space="preserve">    Quarto1,                 !- Zone Name</v>
      </c>
    </row>
    <row r="1479" spans="3:3" x14ac:dyDescent="0.3">
      <c r="C1479" t="str">
        <f>constructions!D350</f>
        <v xml:space="preserve">    Outdoors,                !- Outside Boundary Condition</v>
      </c>
    </row>
    <row r="1480" spans="3:3" x14ac:dyDescent="0.3">
      <c r="C1480" t="str">
        <f>constructions!D351</f>
        <v xml:space="preserve">    ,                        !- Outside Boundary Condition Object</v>
      </c>
    </row>
    <row r="1481" spans="3:3" x14ac:dyDescent="0.3">
      <c r="C1481" t="str">
        <f>constructions!D352</f>
        <v xml:space="preserve">    SunExposed,              !- Sun Exposure</v>
      </c>
    </row>
    <row r="1482" spans="3:3" x14ac:dyDescent="0.3">
      <c r="C1482" t="str">
        <f>constructions!D353</f>
        <v xml:space="preserve">    WindExposed,             !- Wind Exposure</v>
      </c>
    </row>
    <row r="1483" spans="3:3" x14ac:dyDescent="0.3">
      <c r="C1483" t="str">
        <f>constructions!D354</f>
        <v xml:space="preserve">    ,                        !- View Factor to Ground</v>
      </c>
    </row>
    <row r="1484" spans="3:3" x14ac:dyDescent="0.3">
      <c r="C1484" t="str">
        <f>constructions!D355</f>
        <v xml:space="preserve">    ,                        !- Number of Vertices</v>
      </c>
    </row>
    <row r="1485" spans="3:3" x14ac:dyDescent="0.3">
      <c r="C1485" t="str">
        <f>constructions!D356</f>
        <v xml:space="preserve">    -4.33146851719357e-015,  !- Vertex 1 X-coordinate {m}</v>
      </c>
    </row>
    <row r="1486" spans="3:3" x14ac:dyDescent="0.3">
      <c r="C1486" t="str">
        <f>constructions!D357</f>
        <v xml:space="preserve">    3.97051280742744e-015,   !- Vertex 1 Y-coordinate {m}</v>
      </c>
    </row>
    <row r="1487" spans="3:3" x14ac:dyDescent="0.3">
      <c r="C1487" t="str">
        <f>constructions!D358</f>
        <v xml:space="preserve">    2.7,                     !- Vertex 1 Z-coordinate {m}</v>
      </c>
    </row>
    <row r="1488" spans="3:3" x14ac:dyDescent="0.3">
      <c r="C1488" t="str">
        <f>constructions!D359</f>
        <v xml:space="preserve">    -4.33146851719357e-015,  !- Vertex 2 X-coordinate {m}</v>
      </c>
    </row>
    <row r="1489" spans="3:3" x14ac:dyDescent="0.3">
      <c r="C1489" t="str">
        <f>constructions!D360</f>
        <v xml:space="preserve">    3.97051280742744e-015,   !- Vertex 2 Y-coordinate {m}</v>
      </c>
    </row>
    <row r="1490" spans="3:3" x14ac:dyDescent="0.3">
      <c r="C1490" t="str">
        <f>constructions!D361</f>
        <v xml:space="preserve">    0,                       !- Vertex 2 Z-coordinate {m}</v>
      </c>
    </row>
    <row r="1491" spans="3:3" x14ac:dyDescent="0.3">
      <c r="C1491" t="str">
        <f>constructions!D362</f>
        <v xml:space="preserve">    2.71999999999999,        !- Vertex 3 X-coordinate {m}</v>
      </c>
    </row>
    <row r="1492" spans="3:3" x14ac:dyDescent="0.3">
      <c r="C1492" t="str">
        <f>constructions!D363</f>
        <v xml:space="preserve">    3.97051280742744e-015,   !- Vertex 3 Y-coordinate {m}</v>
      </c>
    </row>
    <row r="1493" spans="3:3" x14ac:dyDescent="0.3">
      <c r="C1493" t="str">
        <f>constructions!D364</f>
        <v xml:space="preserve">    0,                       !- Vertex 3 Z-coordinate {m}</v>
      </c>
    </row>
    <row r="1494" spans="3:3" x14ac:dyDescent="0.3">
      <c r="C1494" t="str">
        <f>constructions!D365</f>
        <v xml:space="preserve">    2.71999999999999,        !- Vertex 4 X-coordinate {m}</v>
      </c>
    </row>
    <row r="1495" spans="3:3" x14ac:dyDescent="0.3">
      <c r="C1495" t="str">
        <f>constructions!D366</f>
        <v xml:space="preserve">    3.97051280742744e-015,   !- Vertex 4 Y-coordinate {m}</v>
      </c>
    </row>
    <row r="1496" spans="3:3" x14ac:dyDescent="0.3">
      <c r="C1496" t="str">
        <f>constructions!D367</f>
        <v xml:space="preserve">    2.7;                     !- Vertex 4 Z-coordinate {m}</v>
      </c>
    </row>
    <row r="1497" spans="3:3" x14ac:dyDescent="0.3">
      <c r="C1497" t="str">
        <f>constructions!D368</f>
        <v/>
      </c>
    </row>
    <row r="1498" spans="3:3" x14ac:dyDescent="0.3">
      <c r="C1498" t="str">
        <f>constructions!D369</f>
        <v>BuildingSurface:Detailed,</v>
      </c>
    </row>
    <row r="1499" spans="3:3" x14ac:dyDescent="0.3">
      <c r="C1499" t="str">
        <f>constructions!D370</f>
        <v xml:space="preserve">    Surface 15,              !- Name</v>
      </c>
    </row>
    <row r="1500" spans="3:3" x14ac:dyDescent="0.3">
      <c r="C1500" t="str">
        <f>constructions!D371</f>
        <v xml:space="preserve">    Floor,                   !- Surface Type</v>
      </c>
    </row>
    <row r="1501" spans="3:3" x14ac:dyDescent="0.3">
      <c r="C1501" t="str">
        <f>constructions!D372</f>
        <v xml:space="preserve">    Laje protendida alveolar,!- Construction Name</v>
      </c>
    </row>
    <row r="1502" spans="3:3" x14ac:dyDescent="0.3">
      <c r="C1502" t="str">
        <f>constructions!D373</f>
        <v xml:space="preserve">    Quarto1,                 !- Zone Name</v>
      </c>
    </row>
    <row r="1503" spans="3:3" x14ac:dyDescent="0.3">
      <c r="C1503" t="str">
        <f>constructions!D374</f>
        <v xml:space="preserve">    Ground,                  !- Outside Boundary Condition</v>
      </c>
    </row>
    <row r="1504" spans="3:3" x14ac:dyDescent="0.3">
      <c r="C1504" t="str">
        <f>constructions!D375</f>
        <v xml:space="preserve">    ,                        !- Outside Boundary Condition Object</v>
      </c>
    </row>
    <row r="1505" spans="3:3" x14ac:dyDescent="0.3">
      <c r="C1505" t="str">
        <f>constructions!D376</f>
        <v xml:space="preserve">    NoSun,                   !- Sun Exposure</v>
      </c>
    </row>
    <row r="1506" spans="3:3" x14ac:dyDescent="0.3">
      <c r="C1506" t="str">
        <f>constructions!D377</f>
        <v xml:space="preserve">    NoWind,                  !- Wind Exposure</v>
      </c>
    </row>
    <row r="1507" spans="3:3" x14ac:dyDescent="0.3">
      <c r="C1507" t="str">
        <f>constructions!D378</f>
        <v xml:space="preserve">    ,                        !- View Factor to Ground</v>
      </c>
    </row>
    <row r="1508" spans="3:3" x14ac:dyDescent="0.3">
      <c r="C1508" t="str">
        <f>constructions!D379</f>
        <v xml:space="preserve">    ,                        !- Number of Vertices</v>
      </c>
    </row>
    <row r="1509" spans="3:3" x14ac:dyDescent="0.3">
      <c r="C1509" t="str">
        <f>constructions!D380</f>
        <v xml:space="preserve">    2.71999999999999,        !- Vertex 1 X-coordinate {m}</v>
      </c>
    </row>
    <row r="1510" spans="3:3" x14ac:dyDescent="0.3">
      <c r="C1510" t="str">
        <f>constructions!D381</f>
        <v xml:space="preserve">    2.95328087937421,        !- Vertex 1 Y-coordinate {m}</v>
      </c>
    </row>
    <row r="1511" spans="3:3" x14ac:dyDescent="0.3">
      <c r="C1511" t="str">
        <f>constructions!D382</f>
        <v xml:space="preserve">    0,                       !- Vertex 1 Z-coordinate {m}</v>
      </c>
    </row>
    <row r="1512" spans="3:3" x14ac:dyDescent="0.3">
      <c r="C1512" t="str">
        <f>constructions!D383</f>
        <v xml:space="preserve">    2.71999999999999,        !- Vertex 2 X-coordinate {m}</v>
      </c>
    </row>
    <row r="1513" spans="3:3" x14ac:dyDescent="0.3">
      <c r="C1513" t="str">
        <f>constructions!D384</f>
        <v xml:space="preserve">    3.97051280742744e-015,   !- Vertex 2 Y-coordinate {m}</v>
      </c>
    </row>
    <row r="1514" spans="3:3" x14ac:dyDescent="0.3">
      <c r="C1514" t="str">
        <f>constructions!D385</f>
        <v xml:space="preserve">    0,                       !- Vertex 2 Z-coordinate {m}</v>
      </c>
    </row>
    <row r="1515" spans="3:3" x14ac:dyDescent="0.3">
      <c r="C1515" t="str">
        <f>constructions!D386</f>
        <v xml:space="preserve">    -4.33146851719357e-015,  !- Vertex 3 X-coordinate {m}</v>
      </c>
    </row>
    <row r="1516" spans="3:3" x14ac:dyDescent="0.3">
      <c r="C1516" t="str">
        <f>constructions!D387</f>
        <v xml:space="preserve">    3.97051280742744e-015,   !- Vertex 3 Y-coordinate {m}</v>
      </c>
    </row>
    <row r="1517" spans="3:3" x14ac:dyDescent="0.3">
      <c r="C1517" t="str">
        <f>constructions!D388</f>
        <v xml:space="preserve">    0,                       !- Vertex 3 Z-coordinate {m}</v>
      </c>
    </row>
    <row r="1518" spans="3:3" x14ac:dyDescent="0.3">
      <c r="C1518" t="str">
        <f>constructions!D389</f>
        <v xml:space="preserve">    -4.33146851719357e-015,  !- Vertex 4 X-coordinate {m}</v>
      </c>
    </row>
    <row r="1519" spans="3:3" x14ac:dyDescent="0.3">
      <c r="C1519" t="str">
        <f>constructions!D390</f>
        <v xml:space="preserve">    2.95328087937421,        !- Vertex 4 Y-coordinate {m}</v>
      </c>
    </row>
    <row r="1520" spans="3:3" x14ac:dyDescent="0.3">
      <c r="C1520" t="str">
        <f>constructions!D391</f>
        <v xml:space="preserve">    0;                       !- Vertex 4 Z-coordinate {m}</v>
      </c>
    </row>
    <row r="1521" spans="3:3" x14ac:dyDescent="0.3">
      <c r="C1521" t="str">
        <f>constructions!D392</f>
        <v/>
      </c>
    </row>
    <row r="1522" spans="3:3" x14ac:dyDescent="0.3">
      <c r="C1522" t="str">
        <f>constructions!D393</f>
        <v>BuildingSurface:Detailed,</v>
      </c>
    </row>
    <row r="1523" spans="3:3" x14ac:dyDescent="0.3">
      <c r="C1523" t="str">
        <f>constructions!D394</f>
        <v xml:space="preserve">    Surface 16,              !- Name</v>
      </c>
    </row>
    <row r="1524" spans="3:3" x14ac:dyDescent="0.3">
      <c r="C1524" t="str">
        <f>constructions!D395</f>
        <v xml:space="preserve">    Ceiling,                 !- Surface Type</v>
      </c>
    </row>
    <row r="1525" spans="3:3" x14ac:dyDescent="0.3">
      <c r="C1525" t="str">
        <f>constructions!D396</f>
        <v>Forro PVC,               !- Construction Name</v>
      </c>
    </row>
    <row r="1526" spans="3:3" x14ac:dyDescent="0.3">
      <c r="C1526" t="str">
        <f>constructions!D397</f>
        <v xml:space="preserve">    Quarto1,                 !- Zone Name</v>
      </c>
    </row>
    <row r="1527" spans="3:3" x14ac:dyDescent="0.3">
      <c r="C1527" t="str">
        <f>constructions!D398</f>
        <v xml:space="preserve">    Surface,                 !- Outside Boundary Condition</v>
      </c>
    </row>
    <row r="1528" spans="3:3" x14ac:dyDescent="0.3">
      <c r="C1528" t="str">
        <f>constructions!D399</f>
        <v xml:space="preserve">    ForroQuarto1,            !- Outside Boundary Condition Object</v>
      </c>
    </row>
    <row r="1529" spans="3:3" x14ac:dyDescent="0.3">
      <c r="C1529" t="str">
        <f>constructions!D400</f>
        <v xml:space="preserve">    NoSun,                   !- Sun Exposure</v>
      </c>
    </row>
    <row r="1530" spans="3:3" x14ac:dyDescent="0.3">
      <c r="C1530" t="str">
        <f>constructions!D401</f>
        <v xml:space="preserve">    NoWind,                  !- Wind Exposure</v>
      </c>
    </row>
    <row r="1531" spans="3:3" x14ac:dyDescent="0.3">
      <c r="C1531" t="str">
        <f>constructions!D402</f>
        <v xml:space="preserve">    ,                        !- View Factor to Ground</v>
      </c>
    </row>
    <row r="1532" spans="3:3" x14ac:dyDescent="0.3">
      <c r="C1532" t="str">
        <f>constructions!D403</f>
        <v xml:space="preserve">    ,                        !- Number of Vertices</v>
      </c>
    </row>
    <row r="1533" spans="3:3" x14ac:dyDescent="0.3">
      <c r="C1533" t="str">
        <f>constructions!D404</f>
        <v xml:space="preserve">    2.71999999999999,        !- Vertex 1 X-coordinate {m}</v>
      </c>
    </row>
    <row r="1534" spans="3:3" x14ac:dyDescent="0.3">
      <c r="C1534" t="str">
        <f>constructions!D405</f>
        <v xml:space="preserve">    3.97051280742744e-015,   !- Vertex 1 Y-coordinate {m}</v>
      </c>
    </row>
    <row r="1535" spans="3:3" x14ac:dyDescent="0.3">
      <c r="C1535" t="str">
        <f>constructions!D406</f>
        <v xml:space="preserve">    2.7,                     !- Vertex 1 Z-coordinate {m}</v>
      </c>
    </row>
    <row r="1536" spans="3:3" x14ac:dyDescent="0.3">
      <c r="C1536" t="str">
        <f>constructions!D407</f>
        <v xml:space="preserve">    2.71999999999999,        !- Vertex 2 X-coordinate {m}</v>
      </c>
    </row>
    <row r="1537" spans="3:3" x14ac:dyDescent="0.3">
      <c r="C1537" t="str">
        <f>constructions!D408</f>
        <v xml:space="preserve">    2.95328087937421,        !- Vertex 2 Y-coordinate {m}</v>
      </c>
    </row>
    <row r="1538" spans="3:3" x14ac:dyDescent="0.3">
      <c r="C1538" t="str">
        <f>constructions!D409</f>
        <v xml:space="preserve">    2.7,                     !- Vertex 2 Z-coordinate {m}</v>
      </c>
    </row>
    <row r="1539" spans="3:3" x14ac:dyDescent="0.3">
      <c r="C1539" t="str">
        <f>constructions!D410</f>
        <v xml:space="preserve">    -4.33146851719357e-015,  !- Vertex 3 X-coordinate {m}</v>
      </c>
    </row>
    <row r="1540" spans="3:3" x14ac:dyDescent="0.3">
      <c r="C1540" t="str">
        <f>constructions!D411</f>
        <v xml:space="preserve">    2.95328087937421,        !- Vertex 3 Y-coordinate {m}</v>
      </c>
    </row>
    <row r="1541" spans="3:3" x14ac:dyDescent="0.3">
      <c r="C1541" t="str">
        <f>constructions!D412</f>
        <v xml:space="preserve">    2.7,                     !- Vertex 3 Z-coordinate {m}</v>
      </c>
    </row>
    <row r="1542" spans="3:3" x14ac:dyDescent="0.3">
      <c r="C1542" t="str">
        <f>constructions!D413</f>
        <v xml:space="preserve">    -4.33146851719357e-015,  !- Vertex 4 X-coordinate {m}</v>
      </c>
    </row>
    <row r="1543" spans="3:3" x14ac:dyDescent="0.3">
      <c r="C1543" t="str">
        <f>constructions!D414</f>
        <v xml:space="preserve">    3.97051280742744e-015,   !- Vertex 4 Y-coordinate {m}</v>
      </c>
    </row>
    <row r="1544" spans="3:3" x14ac:dyDescent="0.3">
      <c r="C1544" t="str">
        <f>constructions!D415</f>
        <v xml:space="preserve">    2.7;                     !- Vertex 4 Z-coordinate {m}</v>
      </c>
    </row>
    <row r="1545" spans="3:3" x14ac:dyDescent="0.3">
      <c r="C1545" t="str">
        <f>constructions!D416</f>
        <v/>
      </c>
    </row>
    <row r="1546" spans="3:3" x14ac:dyDescent="0.3">
      <c r="C1546" t="str">
        <f>constructions!D417</f>
        <v>BuildingSurface:Detailed,</v>
      </c>
    </row>
    <row r="1547" spans="3:3" x14ac:dyDescent="0.3">
      <c r="C1547" t="str">
        <f>constructions!D418</f>
        <v xml:space="preserve">    ParedeIntQuarto2Quarto1, !- Name</v>
      </c>
    </row>
    <row r="1548" spans="3:3" x14ac:dyDescent="0.3">
      <c r="C1548" t="str">
        <f>constructions!D419</f>
        <v xml:space="preserve">    Wall,                    !- Surface Type</v>
      </c>
    </row>
    <row r="1549" spans="3:3" x14ac:dyDescent="0.3">
      <c r="C1549" t="str">
        <f>constructions!D420</f>
        <v>Parede  Tijolo cerâmico 9x14x24 c/ argamassa int e ext             ,  !- Construction Name</v>
      </c>
    </row>
    <row r="1550" spans="3:3" x14ac:dyDescent="0.3">
      <c r="C1550" t="str">
        <f>constructions!D421</f>
        <v xml:space="preserve">    Quarto2,                 !- Zone Name</v>
      </c>
    </row>
    <row r="1551" spans="3:3" x14ac:dyDescent="0.3">
      <c r="C1551" t="str">
        <f>constructions!D422</f>
        <v xml:space="preserve">    Surface,                 !- Outside Boundary Condition</v>
      </c>
    </row>
    <row r="1552" spans="3:3" x14ac:dyDescent="0.3">
      <c r="C1552" t="str">
        <f>constructions!D423</f>
        <v xml:space="preserve">    ParedeIntQuarto1Quarto2, !- Outside Boundary Condition Object</v>
      </c>
    </row>
    <row r="1553" spans="3:3" x14ac:dyDescent="0.3">
      <c r="C1553" t="str">
        <f>constructions!D424</f>
        <v xml:space="preserve">    NoSun,                   !- Sun Exposure</v>
      </c>
    </row>
    <row r="1554" spans="3:3" x14ac:dyDescent="0.3">
      <c r="C1554" t="str">
        <f>constructions!D425</f>
        <v xml:space="preserve">    NoWind,                  !- Wind Exposure</v>
      </c>
    </row>
    <row r="1555" spans="3:3" x14ac:dyDescent="0.3">
      <c r="C1555" t="str">
        <f>constructions!D426</f>
        <v xml:space="preserve">    ,                        !- View Factor to Ground</v>
      </c>
    </row>
    <row r="1556" spans="3:3" x14ac:dyDescent="0.3">
      <c r="C1556" t="str">
        <f>constructions!D427</f>
        <v xml:space="preserve">    ,                        !- Number of Vertices</v>
      </c>
    </row>
    <row r="1557" spans="3:3" x14ac:dyDescent="0.3">
      <c r="C1557" t="str">
        <f>constructions!D428</f>
        <v xml:space="preserve">    0,                       !- Vertex 1 X-coordinate {m}</v>
      </c>
    </row>
    <row r="1558" spans="3:3" x14ac:dyDescent="0.3">
      <c r="C1558" t="str">
        <f>constructions!D429</f>
        <v xml:space="preserve">    0,                       !- Vertex 1 Y-coordinate {m}</v>
      </c>
    </row>
    <row r="1559" spans="3:3" x14ac:dyDescent="0.3">
      <c r="C1559" t="str">
        <f>constructions!D430</f>
        <v xml:space="preserve">    2.7,                     !- Vertex 1 Z-coordinate {m}</v>
      </c>
    </row>
    <row r="1560" spans="3:3" x14ac:dyDescent="0.3">
      <c r="C1560" t="str">
        <f>constructions!D431</f>
        <v xml:space="preserve">    0,                       !- Vertex 2 X-coordinate {m}</v>
      </c>
    </row>
    <row r="1561" spans="3:3" x14ac:dyDescent="0.3">
      <c r="C1561" t="str">
        <f>constructions!D432</f>
        <v xml:space="preserve">    0,                       !- Vertex 2 Y-coordinate {m}</v>
      </c>
    </row>
    <row r="1562" spans="3:3" x14ac:dyDescent="0.3">
      <c r="C1562" t="str">
        <f>constructions!D433</f>
        <v xml:space="preserve">    0,                       !- Vertex 2 Z-coordinate {m}</v>
      </c>
    </row>
    <row r="1563" spans="3:3" x14ac:dyDescent="0.3">
      <c r="C1563" t="str">
        <f>constructions!D434</f>
        <v xml:space="preserve">    2.71999999999999,        !- Vertex 3 X-coordinate {m}</v>
      </c>
    </row>
    <row r="1564" spans="3:3" x14ac:dyDescent="0.3">
      <c r="C1564" t="str">
        <f>constructions!D435</f>
        <v xml:space="preserve">    0,                       !- Vertex 3 Y-coordinate {m}</v>
      </c>
    </row>
    <row r="1565" spans="3:3" x14ac:dyDescent="0.3">
      <c r="C1565" t="str">
        <f>constructions!D436</f>
        <v xml:space="preserve">    0,                       !- Vertex 3 Z-coordinate {m}</v>
      </c>
    </row>
    <row r="1566" spans="3:3" x14ac:dyDescent="0.3">
      <c r="C1566" t="str">
        <f>constructions!D437</f>
        <v xml:space="preserve">    2.71999999999999,        !- Vertex 4 X-coordinate {m}</v>
      </c>
    </row>
    <row r="1567" spans="3:3" x14ac:dyDescent="0.3">
      <c r="C1567" t="str">
        <f>constructions!D438</f>
        <v xml:space="preserve">    0,                       !- Vertex 4 Y-coordinate {m}</v>
      </c>
    </row>
    <row r="1568" spans="3:3" x14ac:dyDescent="0.3">
      <c r="C1568" t="str">
        <f>constructions!D439</f>
        <v xml:space="preserve">    2.7;                     !- Vertex 4 Z-coordinate {m}</v>
      </c>
    </row>
    <row r="1569" spans="3:3" x14ac:dyDescent="0.3">
      <c r="C1569" t="str">
        <f>constructions!D440</f>
        <v/>
      </c>
    </row>
    <row r="1570" spans="3:3" x14ac:dyDescent="0.3">
      <c r="C1570" t="str">
        <f>constructions!D441</f>
        <v>BuildingSurface:Detailed,</v>
      </c>
    </row>
    <row r="1571" spans="3:3" x14ac:dyDescent="0.3">
      <c r="C1571" t="str">
        <f>constructions!D442</f>
        <v xml:space="preserve">    ParedeIntQuarto2Sala,    !- Name</v>
      </c>
    </row>
    <row r="1572" spans="3:3" x14ac:dyDescent="0.3">
      <c r="C1572" t="str">
        <f>constructions!D443</f>
        <v xml:space="preserve">    Wall,                    !- Surface Type</v>
      </c>
    </row>
    <row r="1573" spans="3:3" x14ac:dyDescent="0.3">
      <c r="C1573" t="str">
        <f>constructions!D444</f>
        <v>Parede  Tijolo cerâmico 9x14x24 c/ argamassa int e ext             ,  !- Construction Name</v>
      </c>
    </row>
    <row r="1574" spans="3:3" x14ac:dyDescent="0.3">
      <c r="C1574" t="str">
        <f>constructions!D445</f>
        <v xml:space="preserve">    Quarto2,                 !- Zone Name</v>
      </c>
    </row>
    <row r="1575" spans="3:3" x14ac:dyDescent="0.3">
      <c r="C1575" t="str">
        <f>constructions!D446</f>
        <v xml:space="preserve">    Surface,                 !- Outside Boundary Condition</v>
      </c>
    </row>
    <row r="1576" spans="3:3" x14ac:dyDescent="0.3">
      <c r="C1576" t="str">
        <f>constructions!D447</f>
        <v xml:space="preserve">    ParedeIntSalaQuarto2,    !- Outside Boundary Condition Object</v>
      </c>
    </row>
    <row r="1577" spans="3:3" x14ac:dyDescent="0.3">
      <c r="C1577" t="str">
        <f>constructions!D448</f>
        <v xml:space="preserve">    NoSun,                   !- Sun Exposure</v>
      </c>
    </row>
    <row r="1578" spans="3:3" x14ac:dyDescent="0.3">
      <c r="C1578" t="str">
        <f>constructions!D449</f>
        <v xml:space="preserve">    NoWind,                  !- Wind Exposure</v>
      </c>
    </row>
    <row r="1579" spans="3:3" x14ac:dyDescent="0.3">
      <c r="C1579" t="str">
        <f>constructions!D450</f>
        <v xml:space="preserve">    ,                        !- View Factor to Ground</v>
      </c>
    </row>
    <row r="1580" spans="3:3" x14ac:dyDescent="0.3">
      <c r="C1580" t="str">
        <f>constructions!D451</f>
        <v xml:space="preserve">    ,                        !- Number of Vertices</v>
      </c>
    </row>
    <row r="1581" spans="3:3" x14ac:dyDescent="0.3">
      <c r="C1581" t="str">
        <f>constructions!D452</f>
        <v xml:space="preserve">    -2.16573425859679e-015,  !- Vertex 1 X-coordinate {m}</v>
      </c>
    </row>
    <row r="1582" spans="3:3" x14ac:dyDescent="0.3">
      <c r="C1582" t="str">
        <f>constructions!D453</f>
        <v xml:space="preserve">    2.77671912062579,        !- Vertex 1 Y-coordinate {m}</v>
      </c>
    </row>
    <row r="1583" spans="3:3" x14ac:dyDescent="0.3">
      <c r="C1583" t="str">
        <f>constructions!D454</f>
        <v xml:space="preserve">    2.7,                     !- Vertex 1 Z-coordinate {m}</v>
      </c>
    </row>
    <row r="1584" spans="3:3" x14ac:dyDescent="0.3">
      <c r="C1584" t="str">
        <f>constructions!D455</f>
        <v xml:space="preserve">    -2.88764567812905e-015,  !- Vertex 2 X-coordinate {m}</v>
      </c>
    </row>
    <row r="1585" spans="3:3" x14ac:dyDescent="0.3">
      <c r="C1585" t="str">
        <f>constructions!D456</f>
        <v xml:space="preserve">    2.77671912062579,        !- Vertex 2 Y-coordinate {m}</v>
      </c>
    </row>
    <row r="1586" spans="3:3" x14ac:dyDescent="0.3">
      <c r="C1586" t="str">
        <f>constructions!D457</f>
        <v xml:space="preserve">    -2.17148374021287e-031,  !- Vertex 2 Z-coordinate {m}</v>
      </c>
    </row>
    <row r="1587" spans="3:3" x14ac:dyDescent="0.3">
      <c r="C1587" t="str">
        <f>constructions!D458</f>
        <v xml:space="preserve">    0,                       !- Vertex 3 X-coordinate {m}</v>
      </c>
    </row>
    <row r="1588" spans="3:3" x14ac:dyDescent="0.3">
      <c r="C1588" t="str">
        <f>constructions!D459</f>
        <v xml:space="preserve">    0,                       !- Vertex 3 Y-coordinate {m}</v>
      </c>
    </row>
    <row r="1589" spans="3:3" x14ac:dyDescent="0.3">
      <c r="C1589" t="str">
        <f>constructions!D460</f>
        <v xml:space="preserve">    0,                       !- Vertex 3 Z-coordinate {m}</v>
      </c>
    </row>
    <row r="1590" spans="3:3" x14ac:dyDescent="0.3">
      <c r="C1590" t="str">
        <f>constructions!D461</f>
        <v xml:space="preserve">    0,                       !- Vertex 4 X-coordinate {m}</v>
      </c>
    </row>
    <row r="1591" spans="3:3" x14ac:dyDescent="0.3">
      <c r="C1591" t="str">
        <f>constructions!D462</f>
        <v xml:space="preserve">    0,                       !- Vertex 4 Y-coordinate {m}</v>
      </c>
    </row>
    <row r="1592" spans="3:3" x14ac:dyDescent="0.3">
      <c r="C1592" t="str">
        <f>constructions!D463</f>
        <v xml:space="preserve">    2.7;                     !- Vertex 4 Z-coordinate {m}</v>
      </c>
    </row>
    <row r="1593" spans="3:3" x14ac:dyDescent="0.3">
      <c r="C1593" t="str">
        <f>constructions!D464</f>
        <v/>
      </c>
    </row>
    <row r="1594" spans="3:3" x14ac:dyDescent="0.3">
      <c r="C1594" t="str">
        <f>constructions!D465</f>
        <v>BuildingSurface:Detailed,</v>
      </c>
    </row>
    <row r="1595" spans="3:3" x14ac:dyDescent="0.3">
      <c r="C1595" t="str">
        <f>constructions!D466</f>
        <v xml:space="preserve">    ParedeQuarto2Leste,      !- Name</v>
      </c>
    </row>
    <row r="1596" spans="3:3" x14ac:dyDescent="0.3">
      <c r="C1596" t="str">
        <f>constructions!D467</f>
        <v xml:space="preserve">    Wall,                    !- Surface Type</v>
      </c>
    </row>
    <row r="1597" spans="3:3" x14ac:dyDescent="0.3">
      <c r="C1597" t="str">
        <f>constructions!D468</f>
        <v>Parede  Tijolo cerâmico 9x14x24 c/ argamassa int e ext             ,  !- Construction Name</v>
      </c>
    </row>
    <row r="1598" spans="3:3" x14ac:dyDescent="0.3">
      <c r="C1598" t="str">
        <f>constructions!D469</f>
        <v xml:space="preserve">    Quarto2,                 !- Zone Name</v>
      </c>
    </row>
    <row r="1599" spans="3:3" x14ac:dyDescent="0.3">
      <c r="C1599" t="str">
        <f>constructions!D470</f>
        <v xml:space="preserve">    Outdoors,                !- Outside Boundary Condition</v>
      </c>
    </row>
    <row r="1600" spans="3:3" x14ac:dyDescent="0.3">
      <c r="C1600" t="str">
        <f>constructions!D471</f>
        <v xml:space="preserve">    ,                        !- Outside Boundary Condition Object</v>
      </c>
    </row>
    <row r="1601" spans="3:3" x14ac:dyDescent="0.3">
      <c r="C1601" t="str">
        <f>constructions!D472</f>
        <v xml:space="preserve">    SunExposed,              !- Sun Exposure</v>
      </c>
    </row>
    <row r="1602" spans="3:3" x14ac:dyDescent="0.3">
      <c r="C1602" t="str">
        <f>constructions!D473</f>
        <v xml:space="preserve">    WindExposed,             !- Wind Exposure</v>
      </c>
    </row>
    <row r="1603" spans="3:3" x14ac:dyDescent="0.3">
      <c r="C1603" t="str">
        <f>constructions!D474</f>
        <v xml:space="preserve">    ,                        !- View Factor to Ground</v>
      </c>
    </row>
    <row r="1604" spans="3:3" x14ac:dyDescent="0.3">
      <c r="C1604" t="str">
        <f>constructions!D475</f>
        <v xml:space="preserve">    ,                        !- Number of Vertices</v>
      </c>
    </row>
    <row r="1605" spans="3:3" x14ac:dyDescent="0.3">
      <c r="C1605" t="str">
        <f>constructions!D476</f>
        <v xml:space="preserve">    2.71999999999999,        !- Vertex 1 X-coordinate {m}</v>
      </c>
    </row>
    <row r="1606" spans="3:3" x14ac:dyDescent="0.3">
      <c r="C1606" t="str">
        <f>constructions!D477</f>
        <v xml:space="preserve">    0,                       !- Vertex 1 Y-coordinate {m}</v>
      </c>
    </row>
    <row r="1607" spans="3:3" x14ac:dyDescent="0.3">
      <c r="C1607" t="str">
        <f>constructions!D478</f>
        <v xml:space="preserve">    2.7,                     !- Vertex 1 Z-coordinate {m}</v>
      </c>
    </row>
    <row r="1608" spans="3:3" x14ac:dyDescent="0.3">
      <c r="C1608" t="str">
        <f>constructions!D479</f>
        <v xml:space="preserve">    2.71999999999999,        !- Vertex 2 X-coordinate {m}</v>
      </c>
    </row>
    <row r="1609" spans="3:3" x14ac:dyDescent="0.3">
      <c r="C1609" t="str">
        <f>constructions!D480</f>
        <v xml:space="preserve">    0,                       !- Vertex 2 Y-coordinate {m}</v>
      </c>
    </row>
    <row r="1610" spans="3:3" x14ac:dyDescent="0.3">
      <c r="C1610" t="str">
        <f>constructions!D481</f>
        <v xml:space="preserve">    0,                       !- Vertex 2 Z-coordinate {m}</v>
      </c>
    </row>
    <row r="1611" spans="3:3" x14ac:dyDescent="0.3">
      <c r="C1611" t="str">
        <f>constructions!D482</f>
        <v xml:space="preserve">    2.71999999999999,        !- Vertex 3 X-coordinate {m}</v>
      </c>
    </row>
    <row r="1612" spans="3:3" x14ac:dyDescent="0.3">
      <c r="C1612" t="str">
        <f>constructions!D483</f>
        <v xml:space="preserve">    3.28671912062579,        !- Vertex 3 Y-coordinate {m}</v>
      </c>
    </row>
    <row r="1613" spans="3:3" x14ac:dyDescent="0.3">
      <c r="C1613" t="str">
        <f>constructions!D484</f>
        <v xml:space="preserve">    0,                       !- Vertex 3 Z-coordinate {m}</v>
      </c>
    </row>
    <row r="1614" spans="3:3" x14ac:dyDescent="0.3">
      <c r="C1614" t="str">
        <f>constructions!D485</f>
        <v xml:space="preserve">    2.71999999999999,        !- Vertex 4 X-coordinate {m}</v>
      </c>
    </row>
    <row r="1615" spans="3:3" x14ac:dyDescent="0.3">
      <c r="C1615" t="str">
        <f>constructions!D486</f>
        <v xml:space="preserve">    3.28671912062579,        !- Vertex 4 Y-coordinate {m}</v>
      </c>
    </row>
    <row r="1616" spans="3:3" x14ac:dyDescent="0.3">
      <c r="C1616" t="str">
        <f>constructions!D487</f>
        <v xml:space="preserve">    2.7;                     !- Vertex 4 Z-coordinate {m}</v>
      </c>
    </row>
    <row r="1617" spans="3:3" x14ac:dyDescent="0.3">
      <c r="C1617" t="str">
        <f>constructions!D488</f>
        <v/>
      </c>
    </row>
    <row r="1618" spans="3:3" x14ac:dyDescent="0.3">
      <c r="C1618" t="str">
        <f>constructions!D489</f>
        <v>BuildingSurface:Detailed,</v>
      </c>
    </row>
    <row r="1619" spans="3:3" x14ac:dyDescent="0.3">
      <c r="C1619" t="str">
        <f>constructions!D490</f>
        <v xml:space="preserve">    ParedeQuarto2Norte,      !- Name</v>
      </c>
    </row>
    <row r="1620" spans="3:3" x14ac:dyDescent="0.3">
      <c r="C1620" t="str">
        <f>constructions!D491</f>
        <v xml:space="preserve">    Wall,                    !- Surface Type</v>
      </c>
    </row>
    <row r="1621" spans="3:3" x14ac:dyDescent="0.3">
      <c r="C1621" t="str">
        <f>constructions!D492</f>
        <v>Parede  Tijolo cerâmico 9x14x24 c/ argamassa int e ext             ,  !- Construction Name</v>
      </c>
    </row>
    <row r="1622" spans="3:3" x14ac:dyDescent="0.3">
      <c r="C1622" t="str">
        <f>constructions!D493</f>
        <v xml:space="preserve">    Quarto2,                 !- Zone Name</v>
      </c>
    </row>
    <row r="1623" spans="3:3" x14ac:dyDescent="0.3">
      <c r="C1623" t="str">
        <f>constructions!D494</f>
        <v xml:space="preserve">    Outdoors,                !- Outside Boundary Condition</v>
      </c>
    </row>
    <row r="1624" spans="3:3" x14ac:dyDescent="0.3">
      <c r="C1624" t="str">
        <f>constructions!D495</f>
        <v xml:space="preserve">    ,                        !- Outside Boundary Condition Object</v>
      </c>
    </row>
    <row r="1625" spans="3:3" x14ac:dyDescent="0.3">
      <c r="C1625" t="str">
        <f>constructions!D496</f>
        <v xml:space="preserve">    SunExposed,              !- Sun Exposure</v>
      </c>
    </row>
    <row r="1626" spans="3:3" x14ac:dyDescent="0.3">
      <c r="C1626" t="str">
        <f>constructions!D497</f>
        <v xml:space="preserve">    WindExposed,             !- Wind Exposure</v>
      </c>
    </row>
    <row r="1627" spans="3:3" x14ac:dyDescent="0.3">
      <c r="C1627" t="str">
        <f>constructions!D498</f>
        <v xml:space="preserve">    ,                        !- View Factor to Ground</v>
      </c>
    </row>
    <row r="1628" spans="3:3" x14ac:dyDescent="0.3">
      <c r="C1628" t="str">
        <f>constructions!D499</f>
        <v xml:space="preserve">    ,                        !- Number of Vertices</v>
      </c>
    </row>
    <row r="1629" spans="3:3" x14ac:dyDescent="0.3">
      <c r="C1629" t="str">
        <f>constructions!D500</f>
        <v xml:space="preserve">    2.71999999999999,        !- Vertex 1 X-coordinate {m}</v>
      </c>
    </row>
    <row r="1630" spans="3:3" x14ac:dyDescent="0.3">
      <c r="C1630" t="str">
        <f>constructions!D501</f>
        <v xml:space="preserve">    3.28671912062579,        !- Vertex 1 Y-coordinate {m}</v>
      </c>
    </row>
    <row r="1631" spans="3:3" x14ac:dyDescent="0.3">
      <c r="C1631" t="str">
        <f>constructions!D502</f>
        <v xml:space="preserve">    2.7,                     !- Vertex 1 Z-coordinate {m}</v>
      </c>
    </row>
    <row r="1632" spans="3:3" x14ac:dyDescent="0.3">
      <c r="C1632" t="str">
        <f>constructions!D503</f>
        <v xml:space="preserve">    2.71999999999999,        !- Vertex 2 X-coordinate {m}</v>
      </c>
    </row>
    <row r="1633" spans="3:3" x14ac:dyDescent="0.3">
      <c r="C1633" t="str">
        <f>constructions!D504</f>
        <v xml:space="preserve">    3.28671912062579,        !- Vertex 2 Y-coordinate {m}</v>
      </c>
    </row>
    <row r="1634" spans="3:3" x14ac:dyDescent="0.3">
      <c r="C1634" t="str">
        <f>constructions!D505</f>
        <v xml:space="preserve">    0,                       !- Vertex 2 Z-coordinate {m}</v>
      </c>
    </row>
    <row r="1635" spans="3:3" x14ac:dyDescent="0.3">
      <c r="C1635" t="str">
        <f>constructions!D506</f>
        <v xml:space="preserve">    -7.21911419532262e-016,  !- Vertex 3 X-coordinate {m}</v>
      </c>
    </row>
    <row r="1636" spans="3:3" x14ac:dyDescent="0.3">
      <c r="C1636" t="str">
        <f>constructions!D507</f>
        <v xml:space="preserve">    3.28671912062579,        !- Vertex 3 Y-coordinate {m}</v>
      </c>
    </row>
    <row r="1637" spans="3:3" x14ac:dyDescent="0.3">
      <c r="C1637" t="str">
        <f>constructions!D508</f>
        <v xml:space="preserve">    2.17148374021286e-031,   !- Vertex 3 Z-coordinate {m}</v>
      </c>
    </row>
    <row r="1638" spans="3:3" x14ac:dyDescent="0.3">
      <c r="C1638" t="str">
        <f>constructions!D509</f>
        <v xml:space="preserve">    7.21911419532262e-016,   !- Vertex 4 X-coordinate {m}</v>
      </c>
    </row>
    <row r="1639" spans="3:3" x14ac:dyDescent="0.3">
      <c r="C1639" t="str">
        <f>constructions!D510</f>
        <v xml:space="preserve">    3.28671912062579,        !- Vertex 4 Y-coordinate {m}</v>
      </c>
    </row>
    <row r="1640" spans="3:3" x14ac:dyDescent="0.3">
      <c r="C1640" t="str">
        <f>constructions!D511</f>
        <v xml:space="preserve">    2.7;                     !- Vertex 4 Z-coordinate {m}</v>
      </c>
    </row>
    <row r="1641" spans="3:3" x14ac:dyDescent="0.3">
      <c r="C1641" t="str">
        <f>constructions!D512</f>
        <v/>
      </c>
    </row>
    <row r="1642" spans="3:3" x14ac:dyDescent="0.3">
      <c r="C1642" t="str">
        <f>constructions!D513</f>
        <v>BuildingSurface:Detailed,</v>
      </c>
    </row>
    <row r="1643" spans="3:3" x14ac:dyDescent="0.3">
      <c r="C1643" t="str">
        <f>constructions!D514</f>
        <v xml:space="preserve">    ParedeQuarto2Oeste,      !- Name</v>
      </c>
    </row>
    <row r="1644" spans="3:3" x14ac:dyDescent="0.3">
      <c r="C1644" t="str">
        <f>constructions!D515</f>
        <v xml:space="preserve">    Wall,                    !- Surface Type</v>
      </c>
    </row>
    <row r="1645" spans="3:3" x14ac:dyDescent="0.3">
      <c r="C1645" t="str">
        <f>constructions!D516</f>
        <v>Parede  Tijolo cerâmico 9x14x24 c/ argamassa int e ext             ,  !- Construction Name</v>
      </c>
    </row>
    <row r="1646" spans="3:3" x14ac:dyDescent="0.3">
      <c r="C1646" t="str">
        <f>constructions!D517</f>
        <v xml:space="preserve">    Quarto2,                 !- Zone Name</v>
      </c>
    </row>
    <row r="1647" spans="3:3" x14ac:dyDescent="0.3">
      <c r="C1647" t="str">
        <f>constructions!D518</f>
        <v xml:space="preserve">    Outdoors,                !- Outside Boundary Condition</v>
      </c>
    </row>
    <row r="1648" spans="3:3" x14ac:dyDescent="0.3">
      <c r="C1648" t="str">
        <f>constructions!D519</f>
        <v xml:space="preserve">    ,                        !- Outside Boundary Condition Object</v>
      </c>
    </row>
    <row r="1649" spans="3:3" x14ac:dyDescent="0.3">
      <c r="C1649" t="str">
        <f>constructions!D520</f>
        <v xml:space="preserve">    SunExposed,              !- Sun Exposure</v>
      </c>
    </row>
    <row r="1650" spans="3:3" x14ac:dyDescent="0.3">
      <c r="C1650" t="str">
        <f>constructions!D521</f>
        <v xml:space="preserve">    WindExposed,             !- Wind Exposure</v>
      </c>
    </row>
    <row r="1651" spans="3:3" x14ac:dyDescent="0.3">
      <c r="C1651" t="str">
        <f>constructions!D522</f>
        <v xml:space="preserve">    ,                        !- View Factor to Ground</v>
      </c>
    </row>
    <row r="1652" spans="3:3" x14ac:dyDescent="0.3">
      <c r="C1652" t="str">
        <f>constructions!D523</f>
        <v xml:space="preserve">    ,                        !- Number of Vertices</v>
      </c>
    </row>
    <row r="1653" spans="3:3" x14ac:dyDescent="0.3">
      <c r="C1653" t="str">
        <f>constructions!D524</f>
        <v xml:space="preserve">    7.21911419532262e-016,   !- Vertex 1 X-coordinate {m}</v>
      </c>
    </row>
    <row r="1654" spans="3:3" x14ac:dyDescent="0.3">
      <c r="C1654" t="str">
        <f>constructions!D525</f>
        <v xml:space="preserve">    3.28671912062579,        !- Vertex 1 Y-coordinate {m}</v>
      </c>
    </row>
    <row r="1655" spans="3:3" x14ac:dyDescent="0.3">
      <c r="C1655" t="str">
        <f>constructions!D526</f>
        <v xml:space="preserve">    2.7,                     !- Vertex 1 Z-coordinate {m}</v>
      </c>
    </row>
    <row r="1656" spans="3:3" x14ac:dyDescent="0.3">
      <c r="C1656" t="str">
        <f>constructions!D527</f>
        <v xml:space="preserve">    -7.21911419532262e-016,  !- Vertex 2 X-coordinate {m}</v>
      </c>
    </row>
    <row r="1657" spans="3:3" x14ac:dyDescent="0.3">
      <c r="C1657" t="str">
        <f>constructions!D528</f>
        <v xml:space="preserve">    3.28671912062579,        !- Vertex 2 Y-coordinate {m}</v>
      </c>
    </row>
    <row r="1658" spans="3:3" x14ac:dyDescent="0.3">
      <c r="C1658" t="str">
        <f>constructions!D529</f>
        <v xml:space="preserve">    2.17148374021286e-031,   !- Vertex 2 Z-coordinate {m}</v>
      </c>
    </row>
    <row r="1659" spans="3:3" x14ac:dyDescent="0.3">
      <c r="C1659" t="str">
        <f>constructions!D530</f>
        <v xml:space="preserve">    -2.88764567812905e-015,  !- Vertex 3 X-coordinate {m}</v>
      </c>
    </row>
    <row r="1660" spans="3:3" x14ac:dyDescent="0.3">
      <c r="C1660" t="str">
        <f>constructions!D531</f>
        <v xml:space="preserve">    2.77671912062579,        !- Vertex 3 Y-coordinate {m}</v>
      </c>
    </row>
    <row r="1661" spans="3:3" x14ac:dyDescent="0.3">
      <c r="C1661" t="str">
        <f>constructions!D532</f>
        <v xml:space="preserve">    -2.17148374021287e-031,  !- Vertex 3 Z-coordinate {m}</v>
      </c>
    </row>
    <row r="1662" spans="3:3" x14ac:dyDescent="0.3">
      <c r="C1662" t="str">
        <f>constructions!D533</f>
        <v xml:space="preserve">    -2.16573425859679e-015,  !- Vertex 4 X-coordinate {m}</v>
      </c>
    </row>
    <row r="1663" spans="3:3" x14ac:dyDescent="0.3">
      <c r="C1663" t="str">
        <f>constructions!D534</f>
        <v xml:space="preserve">    2.77671912062579,        !- Vertex 4 Y-coordinate {m}</v>
      </c>
    </row>
    <row r="1664" spans="3:3" x14ac:dyDescent="0.3">
      <c r="C1664" t="str">
        <f>constructions!D535</f>
        <v xml:space="preserve">    2.7;                     !- Vertex 4 Z-coordinate {m}</v>
      </c>
    </row>
    <row r="1665" spans="3:3" x14ac:dyDescent="0.3">
      <c r="C1665" t="str">
        <f>constructions!D536</f>
        <v/>
      </c>
    </row>
    <row r="1666" spans="3:3" x14ac:dyDescent="0.3">
      <c r="C1666" t="str">
        <f>constructions!D537</f>
        <v>BuildingSurface:Detailed,</v>
      </c>
    </row>
    <row r="1667" spans="3:3" x14ac:dyDescent="0.3">
      <c r="C1667" t="str">
        <f>constructions!D538</f>
        <v xml:space="preserve">    Surface 21,              !- Name</v>
      </c>
    </row>
    <row r="1668" spans="3:3" x14ac:dyDescent="0.3">
      <c r="C1668" t="str">
        <f>constructions!D539</f>
        <v xml:space="preserve">    Floor,                   !- Surface Type</v>
      </c>
    </row>
    <row r="1669" spans="3:3" x14ac:dyDescent="0.3">
      <c r="C1669" t="str">
        <f>constructions!D540</f>
        <v xml:space="preserve">    Laje protendida alveolar,!- Construction Name</v>
      </c>
    </row>
    <row r="1670" spans="3:3" x14ac:dyDescent="0.3">
      <c r="C1670" t="str">
        <f>constructions!D541</f>
        <v xml:space="preserve">    Quarto2,                 !- Zone Name</v>
      </c>
    </row>
    <row r="1671" spans="3:3" x14ac:dyDescent="0.3">
      <c r="C1671" t="str">
        <f>constructions!D542</f>
        <v xml:space="preserve">    Ground,                  !- Outside Boundary Condition</v>
      </c>
    </row>
    <row r="1672" spans="3:3" x14ac:dyDescent="0.3">
      <c r="C1672" t="str">
        <f>constructions!D543</f>
        <v xml:space="preserve">    ,                        !- Outside Boundary Condition Object</v>
      </c>
    </row>
    <row r="1673" spans="3:3" x14ac:dyDescent="0.3">
      <c r="C1673" t="str">
        <f>constructions!D544</f>
        <v xml:space="preserve">    NoSun,                   !- Sun Exposure</v>
      </c>
    </row>
    <row r="1674" spans="3:3" x14ac:dyDescent="0.3">
      <c r="C1674" t="str">
        <f>constructions!D545</f>
        <v xml:space="preserve">    NoWind,                  !- Wind Exposure</v>
      </c>
    </row>
    <row r="1675" spans="3:3" x14ac:dyDescent="0.3">
      <c r="C1675" t="str">
        <f>constructions!D546</f>
        <v xml:space="preserve">    ,                        !- View Factor to Ground</v>
      </c>
    </row>
    <row r="1676" spans="3:3" x14ac:dyDescent="0.3">
      <c r="C1676" t="str">
        <f>constructions!D547</f>
        <v xml:space="preserve">    ,                        !- Number of Vertices</v>
      </c>
    </row>
    <row r="1677" spans="3:3" x14ac:dyDescent="0.3">
      <c r="C1677" t="str">
        <f>constructions!D548</f>
        <v xml:space="preserve">    2.71999999999999,        !- Vertex 1 X-coordinate {m}</v>
      </c>
    </row>
    <row r="1678" spans="3:3" x14ac:dyDescent="0.3">
      <c r="C1678" t="str">
        <f>constructions!D549</f>
        <v xml:space="preserve">    3.28671912062579,        !- Vertex 1 Y-coordinate {m}</v>
      </c>
    </row>
    <row r="1679" spans="3:3" x14ac:dyDescent="0.3">
      <c r="C1679" t="str">
        <f>constructions!D550</f>
        <v xml:space="preserve">    0,                       !- Vertex 1 Z-coordinate {m}</v>
      </c>
    </row>
    <row r="1680" spans="3:3" x14ac:dyDescent="0.3">
      <c r="C1680" t="str">
        <f>constructions!D551</f>
        <v xml:space="preserve">    2.71999999999999,        !- Vertex 2 X-coordinate {m}</v>
      </c>
    </row>
    <row r="1681" spans="3:3" x14ac:dyDescent="0.3">
      <c r="C1681" t="str">
        <f>constructions!D552</f>
        <v xml:space="preserve">    0,                       !- Vertex 2 Y-coordinate {m}</v>
      </c>
    </row>
    <row r="1682" spans="3:3" x14ac:dyDescent="0.3">
      <c r="C1682" t="str">
        <f>constructions!D553</f>
        <v xml:space="preserve">    0,                       !- Vertex 2 Z-coordinate {m}</v>
      </c>
    </row>
    <row r="1683" spans="3:3" x14ac:dyDescent="0.3">
      <c r="C1683" t="str">
        <f>constructions!D554</f>
        <v xml:space="preserve">    0,                       !- Vertex 3 X-coordinate {m}</v>
      </c>
    </row>
    <row r="1684" spans="3:3" x14ac:dyDescent="0.3">
      <c r="C1684" t="str">
        <f>constructions!D555</f>
        <v xml:space="preserve">    0,                       !- Vertex 3 Y-coordinate {m}</v>
      </c>
    </row>
    <row r="1685" spans="3:3" x14ac:dyDescent="0.3">
      <c r="C1685" t="str">
        <f>constructions!D556</f>
        <v xml:space="preserve">    0,                       !- Vertex 3 Z-coordinate {m}</v>
      </c>
    </row>
    <row r="1686" spans="3:3" x14ac:dyDescent="0.3">
      <c r="C1686" t="str">
        <f>constructions!D557</f>
        <v xml:space="preserve">    -7.21911419532262e-016,  !- Vertex 4 X-coordinate {m}</v>
      </c>
    </row>
    <row r="1687" spans="3:3" x14ac:dyDescent="0.3">
      <c r="C1687" t="str">
        <f>constructions!D558</f>
        <v xml:space="preserve">    3.28671912062579,        !- Vertex 4 Y-coordinate {m}</v>
      </c>
    </row>
    <row r="1688" spans="3:3" x14ac:dyDescent="0.3">
      <c r="C1688" t="str">
        <f>constructions!D559</f>
        <v xml:space="preserve">    2.17148374021286e-031;   !- Vertex 4 Z-coordinate {m}</v>
      </c>
    </row>
    <row r="1689" spans="3:3" x14ac:dyDescent="0.3">
      <c r="C1689" t="str">
        <f>constructions!D560</f>
        <v/>
      </c>
    </row>
    <row r="1690" spans="3:3" x14ac:dyDescent="0.3">
      <c r="C1690" t="str">
        <f>constructions!D561</f>
        <v>BuildingSurface:Detailed,</v>
      </c>
    </row>
    <row r="1691" spans="3:3" x14ac:dyDescent="0.3">
      <c r="C1691" t="str">
        <f>constructions!D562</f>
        <v xml:space="preserve">    Surface 26,              !- Name</v>
      </c>
    </row>
    <row r="1692" spans="3:3" x14ac:dyDescent="0.3">
      <c r="C1692" t="str">
        <f>constructions!D563</f>
        <v xml:space="preserve">    Ceiling,                 !- Surface Type</v>
      </c>
    </row>
    <row r="1693" spans="3:3" x14ac:dyDescent="0.3">
      <c r="C1693" t="str">
        <f>constructions!D564</f>
        <v>Forro PVC,               !- Construction Name</v>
      </c>
    </row>
    <row r="1694" spans="3:3" x14ac:dyDescent="0.3">
      <c r="C1694" t="str">
        <f>constructions!D565</f>
        <v xml:space="preserve">    Quarto2,                 !- Zone Name</v>
      </c>
    </row>
    <row r="1695" spans="3:3" x14ac:dyDescent="0.3">
      <c r="C1695" t="str">
        <f>constructions!D566</f>
        <v xml:space="preserve">    Surface,                 !- Outside Boundary Condition</v>
      </c>
    </row>
    <row r="1696" spans="3:3" x14ac:dyDescent="0.3">
      <c r="C1696" t="str">
        <f>constructions!D567</f>
        <v xml:space="preserve">    ForroQuarto2,            !- Outside Boundary Condition Object</v>
      </c>
    </row>
    <row r="1697" spans="3:3" x14ac:dyDescent="0.3">
      <c r="C1697" t="str">
        <f>constructions!D568</f>
        <v xml:space="preserve">    NoSun,                   !- Sun Exposure</v>
      </c>
    </row>
    <row r="1698" spans="3:3" x14ac:dyDescent="0.3">
      <c r="C1698" t="str">
        <f>constructions!D569</f>
        <v xml:space="preserve">    NoWind,                  !- Wind Exposure</v>
      </c>
    </row>
    <row r="1699" spans="3:3" x14ac:dyDescent="0.3">
      <c r="C1699" t="str">
        <f>constructions!D570</f>
        <v xml:space="preserve">    ,                        !- View Factor to Ground</v>
      </c>
    </row>
    <row r="1700" spans="3:3" x14ac:dyDescent="0.3">
      <c r="C1700" t="str">
        <f>constructions!D571</f>
        <v xml:space="preserve">    ,                        !- Number of Vertices</v>
      </c>
    </row>
    <row r="1701" spans="3:3" x14ac:dyDescent="0.3">
      <c r="C1701" t="str">
        <f>constructions!D572</f>
        <v xml:space="preserve">    2.71999999999999,        !- Vertex 1 X-coordinate {m}</v>
      </c>
    </row>
    <row r="1702" spans="3:3" x14ac:dyDescent="0.3">
      <c r="C1702" t="str">
        <f>constructions!D573</f>
        <v xml:space="preserve">    0,                       !- Vertex 1 Y-coordinate {m}</v>
      </c>
    </row>
    <row r="1703" spans="3:3" x14ac:dyDescent="0.3">
      <c r="C1703" t="str">
        <f>constructions!D574</f>
        <v xml:space="preserve">    2.7,                     !- Vertex 1 Z-coordinate {m}</v>
      </c>
    </row>
    <row r="1704" spans="3:3" x14ac:dyDescent="0.3">
      <c r="C1704" t="str">
        <f>constructions!D575</f>
        <v xml:space="preserve">    2.71999999999999,        !- Vertex 2 X-coordinate {m}</v>
      </c>
    </row>
    <row r="1705" spans="3:3" x14ac:dyDescent="0.3">
      <c r="C1705" t="str">
        <f>constructions!D576</f>
        <v xml:space="preserve">    3.28671912062579,        !- Vertex 2 Y-coordinate {m}</v>
      </c>
    </row>
    <row r="1706" spans="3:3" x14ac:dyDescent="0.3">
      <c r="C1706" t="str">
        <f>constructions!D577</f>
        <v xml:space="preserve">    2.7,                     !- Vertex 2 Z-coordinate {m}</v>
      </c>
    </row>
    <row r="1707" spans="3:3" x14ac:dyDescent="0.3">
      <c r="C1707" t="str">
        <f>constructions!D578</f>
        <v xml:space="preserve">    7.21911419532262e-016,   !- Vertex 3 X-coordinate {m}</v>
      </c>
    </row>
    <row r="1708" spans="3:3" x14ac:dyDescent="0.3">
      <c r="C1708" t="str">
        <f>constructions!D579</f>
        <v xml:space="preserve">    3.28671912062579,        !- Vertex 3 Y-coordinate {m}</v>
      </c>
    </row>
    <row r="1709" spans="3:3" x14ac:dyDescent="0.3">
      <c r="C1709" t="str">
        <f>constructions!D580</f>
        <v xml:space="preserve">    2.7,                     !- Vertex 3 Z-coordinate {m}</v>
      </c>
    </row>
    <row r="1710" spans="3:3" x14ac:dyDescent="0.3">
      <c r="C1710" t="str">
        <f>constructions!D581</f>
        <v xml:space="preserve">    0,                       !- Vertex 4 X-coordinate {m}</v>
      </c>
    </row>
    <row r="1711" spans="3:3" x14ac:dyDescent="0.3">
      <c r="C1711" t="str">
        <f>constructions!D582</f>
        <v xml:space="preserve">    0,                       !- Vertex 4 Y-coordinate {m}</v>
      </c>
    </row>
    <row r="1712" spans="3:3" x14ac:dyDescent="0.3">
      <c r="C1712" t="str">
        <f>constructions!D583</f>
        <v xml:space="preserve">    2.7;                     !- Vertex 4 Z-coordinate {m}</v>
      </c>
    </row>
    <row r="1713" spans="3:3" x14ac:dyDescent="0.3">
      <c r="C1713" t="str">
        <f>constructions!D584</f>
        <v/>
      </c>
    </row>
    <row r="1714" spans="3:3" x14ac:dyDescent="0.3">
      <c r="C1714" t="str">
        <f>constructions!D585</f>
        <v>BuildingSurface:Detailed,</v>
      </c>
    </row>
    <row r="1715" spans="3:3" x14ac:dyDescent="0.3">
      <c r="C1715" t="str">
        <f>constructions!D586</f>
        <v xml:space="preserve">    ParedeBanheiroNorte,     !- Name</v>
      </c>
    </row>
    <row r="1716" spans="3:3" x14ac:dyDescent="0.3">
      <c r="C1716" t="str">
        <f>constructions!D587</f>
        <v xml:space="preserve">    Wall,                    !- Surface Type</v>
      </c>
    </row>
    <row r="1717" spans="3:3" x14ac:dyDescent="0.3">
      <c r="C1717" t="str">
        <f>constructions!D588</f>
        <v>Parede  Tijolo cerâmico 9x14x24 c/ argamassa int e ext             ,  !- Construction Name</v>
      </c>
    </row>
    <row r="1718" spans="3:3" x14ac:dyDescent="0.3">
      <c r="C1718" t="str">
        <f>constructions!D589</f>
        <v xml:space="preserve">    Banheiro,                !- Zone Name</v>
      </c>
    </row>
    <row r="1719" spans="3:3" x14ac:dyDescent="0.3">
      <c r="C1719" t="str">
        <f>constructions!D590</f>
        <v xml:space="preserve">    Outdoors,                !- Outside Boundary Condition</v>
      </c>
    </row>
    <row r="1720" spans="3:3" x14ac:dyDescent="0.3">
      <c r="C1720" t="str">
        <f>constructions!D591</f>
        <v xml:space="preserve">    ,                        !- Outside Boundary Condition Object</v>
      </c>
    </row>
    <row r="1721" spans="3:3" x14ac:dyDescent="0.3">
      <c r="C1721" t="str">
        <f>constructions!D592</f>
        <v xml:space="preserve">    SunExposed,              !- Sun Exposure</v>
      </c>
    </row>
    <row r="1722" spans="3:3" x14ac:dyDescent="0.3">
      <c r="C1722" t="str">
        <f>constructions!D593</f>
        <v xml:space="preserve">    WindExposed,             !- Wind Exposure</v>
      </c>
    </row>
    <row r="1723" spans="3:3" x14ac:dyDescent="0.3">
      <c r="C1723" t="str">
        <f>constructions!D594</f>
        <v xml:space="preserve">    ,                        !- View Factor to Ground</v>
      </c>
    </row>
    <row r="1724" spans="3:3" x14ac:dyDescent="0.3">
      <c r="C1724" t="str">
        <f>constructions!D595</f>
        <v xml:space="preserve">    ,                        !- Number of Vertices</v>
      </c>
    </row>
    <row r="1725" spans="3:3" x14ac:dyDescent="0.3">
      <c r="C1725" t="str">
        <f>constructions!D596</f>
        <v xml:space="preserve">    2.66,                    !- Vertex 1 X-coordinate {m}</v>
      </c>
    </row>
    <row r="1726" spans="3:3" x14ac:dyDescent="0.3">
      <c r="C1726" t="str">
        <f>constructions!D597</f>
        <v xml:space="preserve">    1.81999999999999,        !- Vertex 1 Y-coordinate {m}</v>
      </c>
    </row>
    <row r="1727" spans="3:3" x14ac:dyDescent="0.3">
      <c r="C1727" t="str">
        <f>constructions!D598</f>
        <v xml:space="preserve">    2.7,                     !- Vertex 1 Z-coordinate {m}</v>
      </c>
    </row>
    <row r="1728" spans="3:3" x14ac:dyDescent="0.3">
      <c r="C1728" t="str">
        <f>constructions!D599</f>
        <v xml:space="preserve">    2.66,                    !- Vertex 2 X-coordinate {m}</v>
      </c>
    </row>
    <row r="1729" spans="3:3" x14ac:dyDescent="0.3">
      <c r="C1729" t="str">
        <f>constructions!D600</f>
        <v xml:space="preserve">    1.81999999999999,        !- Vertex 2 Y-coordinate {m}</v>
      </c>
    </row>
    <row r="1730" spans="3:3" x14ac:dyDescent="0.3">
      <c r="C1730" t="str">
        <f>constructions!D601</f>
        <v xml:space="preserve">    0,                       !- Vertex 2 Z-coordinate {m}</v>
      </c>
    </row>
    <row r="1731" spans="3:3" x14ac:dyDescent="0.3">
      <c r="C1731" t="str">
        <f>constructions!D602</f>
        <v xml:space="preserve">    0,                       !- Vertex 3 X-coordinate {m}</v>
      </c>
    </row>
    <row r="1732" spans="3:3" x14ac:dyDescent="0.3">
      <c r="C1732" t="str">
        <f>constructions!D603</f>
        <v xml:space="preserve">    1.81999999999999,        !- Vertex 3 Y-coordinate {m}</v>
      </c>
    </row>
    <row r="1733" spans="3:3" x14ac:dyDescent="0.3">
      <c r="C1733" t="str">
        <f>constructions!D604</f>
        <v xml:space="preserve">    0,                       !- Vertex 3 Z-coordinate {m}</v>
      </c>
    </row>
    <row r="1734" spans="3:3" x14ac:dyDescent="0.3">
      <c r="C1734" t="str">
        <f>constructions!D605</f>
        <v xml:space="preserve">    0,                       !- Vertex 4 X-coordinate {m}</v>
      </c>
    </row>
    <row r="1735" spans="3:3" x14ac:dyDescent="0.3">
      <c r="C1735" t="str">
        <f>constructions!D606</f>
        <v xml:space="preserve">    1.81999999999999,        !- Vertex 4 Y-coordinate {m}</v>
      </c>
    </row>
    <row r="1736" spans="3:3" x14ac:dyDescent="0.3">
      <c r="C1736" t="str">
        <f>constructions!D607</f>
        <v xml:space="preserve">    2.7;                     !- Vertex 4 Z-coordinate {m}</v>
      </c>
    </row>
    <row r="1737" spans="3:3" x14ac:dyDescent="0.3">
      <c r="C1737" t="str">
        <f>constructions!D608</f>
        <v/>
      </c>
    </row>
    <row r="1738" spans="3:3" x14ac:dyDescent="0.3">
      <c r="C1738" t="str">
        <f>constructions!D609</f>
        <v>BuildingSurface:Detailed,</v>
      </c>
    </row>
    <row r="1739" spans="3:3" x14ac:dyDescent="0.3">
      <c r="C1739" t="str">
        <f>constructions!D610</f>
        <v xml:space="preserve">    ParedeBanheiroOeste,     !- Name</v>
      </c>
    </row>
    <row r="1740" spans="3:3" x14ac:dyDescent="0.3">
      <c r="C1740" t="str">
        <f>constructions!D611</f>
        <v xml:space="preserve">    Wall,                    !- Surface Type</v>
      </c>
    </row>
    <row r="1741" spans="3:3" x14ac:dyDescent="0.3">
      <c r="C1741" t="str">
        <f>constructions!D612</f>
        <v>Parede  Tijolo cerâmico 9x14x24 c/ argamassa int e ext             ,  !- Construction Name</v>
      </c>
    </row>
    <row r="1742" spans="3:3" x14ac:dyDescent="0.3">
      <c r="C1742" t="str">
        <f>constructions!D613</f>
        <v xml:space="preserve">    Banheiro,                !- Zone Name</v>
      </c>
    </row>
    <row r="1743" spans="3:3" x14ac:dyDescent="0.3">
      <c r="C1743" t="str">
        <f>constructions!D614</f>
        <v xml:space="preserve">    Outdoors,                !- Outside Boundary Condition</v>
      </c>
    </row>
    <row r="1744" spans="3:3" x14ac:dyDescent="0.3">
      <c r="C1744" t="str">
        <f>constructions!D615</f>
        <v xml:space="preserve">    ,                        !- Outside Boundary Condition Object</v>
      </c>
    </row>
    <row r="1745" spans="3:3" x14ac:dyDescent="0.3">
      <c r="C1745" t="str">
        <f>constructions!D616</f>
        <v xml:space="preserve">    SunExposed,              !- Sun Exposure</v>
      </c>
    </row>
    <row r="1746" spans="3:3" x14ac:dyDescent="0.3">
      <c r="C1746" t="str">
        <f>constructions!D617</f>
        <v xml:space="preserve">    WindExposed,             !- Wind Exposure</v>
      </c>
    </row>
    <row r="1747" spans="3:3" x14ac:dyDescent="0.3">
      <c r="C1747" t="str">
        <f>constructions!D618</f>
        <v xml:space="preserve">    ,                        !- View Factor to Ground</v>
      </c>
    </row>
    <row r="1748" spans="3:3" x14ac:dyDescent="0.3">
      <c r="C1748" t="str">
        <f>constructions!D619</f>
        <v xml:space="preserve">    ,                        !- Number of Vertices</v>
      </c>
    </row>
    <row r="1749" spans="3:3" x14ac:dyDescent="0.3">
      <c r="C1749" t="str">
        <f>constructions!D620</f>
        <v xml:space="preserve">    0,                       !- Vertex 1 X-coordinate {m}</v>
      </c>
    </row>
    <row r="1750" spans="3:3" x14ac:dyDescent="0.3">
      <c r="C1750" t="str">
        <f>constructions!D621</f>
        <v xml:space="preserve">    1.81999999999999,        !- Vertex 1 Y-coordinate {m}</v>
      </c>
    </row>
    <row r="1751" spans="3:3" x14ac:dyDescent="0.3">
      <c r="C1751" t="str">
        <f>constructions!D622</f>
        <v xml:space="preserve">    2.7,                     !- Vertex 1 Z-coordinate {m}</v>
      </c>
    </row>
    <row r="1752" spans="3:3" x14ac:dyDescent="0.3">
      <c r="C1752" t="str">
        <f>constructions!D623</f>
        <v xml:space="preserve">    0,                       !- Vertex 2 X-coordinate {m}</v>
      </c>
    </row>
    <row r="1753" spans="3:3" x14ac:dyDescent="0.3">
      <c r="C1753" t="str">
        <f>constructions!D624</f>
        <v xml:space="preserve">    1.81999999999999,        !- Vertex 2 Y-coordinate {m}</v>
      </c>
    </row>
    <row r="1754" spans="3:3" x14ac:dyDescent="0.3">
      <c r="C1754" t="str">
        <f>constructions!D625</f>
        <v xml:space="preserve">    0,                       !- Vertex 2 Z-coordinate {m}</v>
      </c>
    </row>
    <row r="1755" spans="3:3" x14ac:dyDescent="0.3">
      <c r="C1755" t="str">
        <f>constructions!D626</f>
        <v xml:space="preserve">    0,                       !- Vertex 3 X-coordinate {m}</v>
      </c>
    </row>
    <row r="1756" spans="3:3" x14ac:dyDescent="0.3">
      <c r="C1756" t="str">
        <f>constructions!D627</f>
        <v xml:space="preserve">    0,                       !- Vertex 3 Y-coordinate {m}</v>
      </c>
    </row>
    <row r="1757" spans="3:3" x14ac:dyDescent="0.3">
      <c r="C1757" t="str">
        <f>constructions!D628</f>
        <v xml:space="preserve">    0,                       !- Vertex 3 Z-coordinate {m}</v>
      </c>
    </row>
    <row r="1758" spans="3:3" x14ac:dyDescent="0.3">
      <c r="C1758" t="str">
        <f>constructions!D629</f>
        <v xml:space="preserve">    0,                       !- Vertex 4 X-coordinate {m}</v>
      </c>
    </row>
    <row r="1759" spans="3:3" x14ac:dyDescent="0.3">
      <c r="C1759" t="str">
        <f>constructions!D630</f>
        <v xml:space="preserve">    0,                       !- Vertex 4 Y-coordinate {m}</v>
      </c>
    </row>
    <row r="1760" spans="3:3" x14ac:dyDescent="0.3">
      <c r="C1760" t="str">
        <f>constructions!D631</f>
        <v xml:space="preserve">    2.7;                     !- Vertex 4 Z-coordinate {m}</v>
      </c>
    </row>
    <row r="1761" spans="3:3" x14ac:dyDescent="0.3">
      <c r="C1761" t="str">
        <f>constructions!D632</f>
        <v/>
      </c>
    </row>
    <row r="1762" spans="3:3" x14ac:dyDescent="0.3">
      <c r="C1762" t="str">
        <f>constructions!D633</f>
        <v>BuildingSurface:Detailed,</v>
      </c>
    </row>
    <row r="1763" spans="3:3" x14ac:dyDescent="0.3">
      <c r="C1763" t="str">
        <f>constructions!D634</f>
        <v xml:space="preserve">    ParedeIntBanheiroSala1,  !- Name</v>
      </c>
    </row>
    <row r="1764" spans="3:3" x14ac:dyDescent="0.3">
      <c r="C1764" t="str">
        <f>constructions!D635</f>
        <v xml:space="preserve">    Wall,                    !- Surface Type</v>
      </c>
    </row>
    <row r="1765" spans="3:3" x14ac:dyDescent="0.3">
      <c r="C1765" t="str">
        <f>constructions!D636</f>
        <v>Parede  Tijolo cerâmico 9x14x24 c/ argamassa int e ext             ,  !- Construction Name</v>
      </c>
    </row>
    <row r="1766" spans="3:3" x14ac:dyDescent="0.3">
      <c r="C1766" t="str">
        <f>constructions!D637</f>
        <v xml:space="preserve">    Banheiro,                !- Zone Name</v>
      </c>
    </row>
    <row r="1767" spans="3:3" x14ac:dyDescent="0.3">
      <c r="C1767" t="str">
        <f>constructions!D638</f>
        <v xml:space="preserve">    Surface,                 !- Outside Boundary Condition</v>
      </c>
    </row>
    <row r="1768" spans="3:3" x14ac:dyDescent="0.3">
      <c r="C1768" t="str">
        <f>constructions!D639</f>
        <v xml:space="preserve">    Surface 10,              !- Outside Boundary Condition Object</v>
      </c>
    </row>
    <row r="1769" spans="3:3" x14ac:dyDescent="0.3">
      <c r="C1769" t="str">
        <f>constructions!D640</f>
        <v xml:space="preserve">    NoSun,                   !- Sun Exposure</v>
      </c>
    </row>
    <row r="1770" spans="3:3" x14ac:dyDescent="0.3">
      <c r="C1770" t="str">
        <f>constructions!D641</f>
        <v xml:space="preserve">    NoWind,                  !- Wind Exposure</v>
      </c>
    </row>
    <row r="1771" spans="3:3" x14ac:dyDescent="0.3">
      <c r="C1771" t="str">
        <f>constructions!D642</f>
        <v xml:space="preserve">    ,                        !- View Factor to Ground</v>
      </c>
    </row>
    <row r="1772" spans="3:3" x14ac:dyDescent="0.3">
      <c r="C1772" t="str">
        <f>constructions!D643</f>
        <v xml:space="preserve">    ,                        !- Number of Vertices</v>
      </c>
    </row>
    <row r="1773" spans="3:3" x14ac:dyDescent="0.3">
      <c r="C1773" t="str">
        <f>constructions!D644</f>
        <v xml:space="preserve">    0,                       !- Vertex 1 X-coordinate {m}</v>
      </c>
    </row>
    <row r="1774" spans="3:3" x14ac:dyDescent="0.3">
      <c r="C1774" t="str">
        <f>constructions!D645</f>
        <v xml:space="preserve">    0,                       !- Vertex 1 Y-coordinate {m}</v>
      </c>
    </row>
    <row r="1775" spans="3:3" x14ac:dyDescent="0.3">
      <c r="C1775" t="str">
        <f>constructions!D646</f>
        <v xml:space="preserve">    2.7,                     !- Vertex 1 Z-coordinate {m}</v>
      </c>
    </row>
    <row r="1776" spans="3:3" x14ac:dyDescent="0.3">
      <c r="C1776" t="str">
        <f>constructions!D647</f>
        <v xml:space="preserve">    0,                       !- Vertex 2 X-coordinate {m}</v>
      </c>
    </row>
    <row r="1777" spans="3:3" x14ac:dyDescent="0.3">
      <c r="C1777" t="str">
        <f>constructions!D648</f>
        <v xml:space="preserve">    0,                       !- Vertex 2 Y-coordinate {m}</v>
      </c>
    </row>
    <row r="1778" spans="3:3" x14ac:dyDescent="0.3">
      <c r="C1778" t="str">
        <f>constructions!D649</f>
        <v xml:space="preserve">    0,                       !- Vertex 2 Z-coordinate {m}</v>
      </c>
    </row>
    <row r="1779" spans="3:3" x14ac:dyDescent="0.3">
      <c r="C1779" t="str">
        <f>constructions!D650</f>
        <v xml:space="preserve">    2.66,                    !- Vertex 3 X-coordinate {m}</v>
      </c>
    </row>
    <row r="1780" spans="3:3" x14ac:dyDescent="0.3">
      <c r="C1780" t="str">
        <f>constructions!D651</f>
        <v xml:space="preserve">    0,                       !- Vertex 3 Y-coordinate {m}</v>
      </c>
    </row>
    <row r="1781" spans="3:3" x14ac:dyDescent="0.3">
      <c r="C1781" t="str">
        <f>constructions!D652</f>
        <v xml:space="preserve">    0,                       !- Vertex 3 Z-coordinate {m}</v>
      </c>
    </row>
    <row r="1782" spans="3:3" x14ac:dyDescent="0.3">
      <c r="C1782" t="str">
        <f>constructions!D653</f>
        <v xml:space="preserve">    2.66,                    !- Vertex 4 X-coordinate {m}</v>
      </c>
    </row>
    <row r="1783" spans="3:3" x14ac:dyDescent="0.3">
      <c r="C1783" t="str">
        <f>constructions!D654</f>
        <v xml:space="preserve">    0,                       !- Vertex 4 Y-coordinate {m}</v>
      </c>
    </row>
    <row r="1784" spans="3:3" x14ac:dyDescent="0.3">
      <c r="C1784" t="str">
        <f>constructions!D655</f>
        <v xml:space="preserve">    2.7;                     !- Vertex 4 Z-coordinate {m}</v>
      </c>
    </row>
    <row r="1785" spans="3:3" x14ac:dyDescent="0.3">
      <c r="C1785" t="str">
        <f>constructions!D656</f>
        <v/>
      </c>
    </row>
    <row r="1786" spans="3:3" x14ac:dyDescent="0.3">
      <c r="C1786" t="str">
        <f>constructions!D657</f>
        <v>BuildingSurface:Detailed,</v>
      </c>
    </row>
    <row r="1787" spans="3:3" x14ac:dyDescent="0.3">
      <c r="C1787" t="str">
        <f>constructions!D658</f>
        <v xml:space="preserve">    ParedeIntBanheiroSala2,  !- Name</v>
      </c>
    </row>
    <row r="1788" spans="3:3" x14ac:dyDescent="0.3">
      <c r="C1788" t="str">
        <f>constructions!D659</f>
        <v xml:space="preserve">    Wall,                    !- Surface Type</v>
      </c>
    </row>
    <row r="1789" spans="3:3" x14ac:dyDescent="0.3">
      <c r="C1789" t="str">
        <f>constructions!D660</f>
        <v>Parede  Tijolo cerâmico 9x14x24 c/ argamassa int e ext             ,  !- Construction Name</v>
      </c>
    </row>
    <row r="1790" spans="3:3" x14ac:dyDescent="0.3">
      <c r="C1790" t="str">
        <f>constructions!D661</f>
        <v xml:space="preserve">    Banheiro,                !- Zone Name</v>
      </c>
    </row>
    <row r="1791" spans="3:3" x14ac:dyDescent="0.3">
      <c r="C1791" t="str">
        <f>constructions!D662</f>
        <v xml:space="preserve">    Surface,                 !- Outside Boundary Condition</v>
      </c>
    </row>
    <row r="1792" spans="3:3" x14ac:dyDescent="0.3">
      <c r="C1792" t="str">
        <f>constructions!D663</f>
        <v xml:space="preserve">    Surface 11,              !- Outside Boundary Condition Object</v>
      </c>
    </row>
    <row r="1793" spans="3:3" x14ac:dyDescent="0.3">
      <c r="C1793" t="str">
        <f>constructions!D664</f>
        <v xml:space="preserve">    NoSun,                   !- Sun Exposure</v>
      </c>
    </row>
    <row r="1794" spans="3:3" x14ac:dyDescent="0.3">
      <c r="C1794" t="str">
        <f>constructions!D665</f>
        <v xml:space="preserve">    NoWind,                  !- Wind Exposure</v>
      </c>
    </row>
    <row r="1795" spans="3:3" x14ac:dyDescent="0.3">
      <c r="C1795" t="str">
        <f>constructions!D666</f>
        <v xml:space="preserve">    ,                        !- View Factor to Ground</v>
      </c>
    </row>
    <row r="1796" spans="3:3" x14ac:dyDescent="0.3">
      <c r="C1796" t="str">
        <f>constructions!D667</f>
        <v xml:space="preserve">    ,                        !- Number of Vertices</v>
      </c>
    </row>
    <row r="1797" spans="3:3" x14ac:dyDescent="0.3">
      <c r="C1797" t="str">
        <f>constructions!D668</f>
        <v xml:space="preserve">    2.66,                    !- Vertex 1 X-coordinate {m}</v>
      </c>
    </row>
    <row r="1798" spans="3:3" x14ac:dyDescent="0.3">
      <c r="C1798" t="str">
        <f>constructions!D669</f>
        <v xml:space="preserve">    0,                       !- Vertex 1 Y-coordinate {m}</v>
      </c>
    </row>
    <row r="1799" spans="3:3" x14ac:dyDescent="0.3">
      <c r="C1799" t="str">
        <f>constructions!D670</f>
        <v xml:space="preserve">    2.7,                     !- Vertex 1 Z-coordinate {m}</v>
      </c>
    </row>
    <row r="1800" spans="3:3" x14ac:dyDescent="0.3">
      <c r="C1800" t="str">
        <f>constructions!D671</f>
        <v xml:space="preserve">    2.66,                    !- Vertex 2 X-coordinate {m}</v>
      </c>
    </row>
    <row r="1801" spans="3:3" x14ac:dyDescent="0.3">
      <c r="C1801" t="str">
        <f>constructions!D672</f>
        <v xml:space="preserve">    0,                       !- Vertex 2 Y-coordinate {m}</v>
      </c>
    </row>
    <row r="1802" spans="3:3" x14ac:dyDescent="0.3">
      <c r="C1802" t="str">
        <f>constructions!D673</f>
        <v xml:space="preserve">    0,                       !- Vertex 2 Z-coordinate {m}</v>
      </c>
    </row>
    <row r="1803" spans="3:3" x14ac:dyDescent="0.3">
      <c r="C1803" t="str">
        <f>constructions!D674</f>
        <v xml:space="preserve">    2.66,                    !- Vertex 3 X-coordinate {m}</v>
      </c>
    </row>
    <row r="1804" spans="3:3" x14ac:dyDescent="0.3">
      <c r="C1804" t="str">
        <f>constructions!D675</f>
        <v xml:space="preserve">    1.81999999999999,        !- Vertex 3 Y-coordinate {m}</v>
      </c>
    </row>
    <row r="1805" spans="3:3" x14ac:dyDescent="0.3">
      <c r="C1805" t="str">
        <f>constructions!D676</f>
        <v xml:space="preserve">    0,                       !- Vertex 3 Z-coordinate {m}</v>
      </c>
    </row>
    <row r="1806" spans="3:3" x14ac:dyDescent="0.3">
      <c r="C1806" t="str">
        <f>constructions!D677</f>
        <v xml:space="preserve">    2.66,                    !- Vertex 4 X-coordinate {m}</v>
      </c>
    </row>
    <row r="1807" spans="3:3" x14ac:dyDescent="0.3">
      <c r="C1807" t="str">
        <f>constructions!D678</f>
        <v xml:space="preserve">    1.81999999999999,        !- Vertex 4 Y-coordinate {m}</v>
      </c>
    </row>
    <row r="1808" spans="3:3" x14ac:dyDescent="0.3">
      <c r="C1808" t="str">
        <f>constructions!D679</f>
        <v xml:space="preserve">    2.7;                     !- Vertex 4 Z-coordinate {m}</v>
      </c>
    </row>
    <row r="1809" spans="3:3" x14ac:dyDescent="0.3">
      <c r="C1809" t="str">
        <f>constructions!D680</f>
        <v/>
      </c>
    </row>
    <row r="1810" spans="3:3" x14ac:dyDescent="0.3">
      <c r="C1810" t="str">
        <f>constructions!D681</f>
        <v>BuildingSurface:Detailed,</v>
      </c>
    </row>
    <row r="1811" spans="3:3" x14ac:dyDescent="0.3">
      <c r="C1811" t="str">
        <f>constructions!D682</f>
        <v xml:space="preserve">    Surface 31,              !- Name</v>
      </c>
    </row>
    <row r="1812" spans="3:3" x14ac:dyDescent="0.3">
      <c r="C1812" t="str">
        <f>constructions!D683</f>
        <v xml:space="preserve">    Floor,                   !- Surface Type</v>
      </c>
    </row>
    <row r="1813" spans="3:3" x14ac:dyDescent="0.3">
      <c r="C1813" t="str">
        <f>constructions!D684</f>
        <v xml:space="preserve">    Laje protendida alveolar,!- Construction Name</v>
      </c>
    </row>
    <row r="1814" spans="3:3" x14ac:dyDescent="0.3">
      <c r="C1814" t="str">
        <f>constructions!D685</f>
        <v xml:space="preserve">    Banheiro,                !- Zone Name</v>
      </c>
    </row>
    <row r="1815" spans="3:3" x14ac:dyDescent="0.3">
      <c r="C1815" t="str">
        <f>constructions!D686</f>
        <v xml:space="preserve">    Ground,                  !- Outside Boundary Condition</v>
      </c>
    </row>
    <row r="1816" spans="3:3" x14ac:dyDescent="0.3">
      <c r="C1816" t="str">
        <f>constructions!D687</f>
        <v xml:space="preserve">    ,                        !- Outside Boundary Condition Object</v>
      </c>
    </row>
    <row r="1817" spans="3:3" x14ac:dyDescent="0.3">
      <c r="C1817" t="str">
        <f>constructions!D688</f>
        <v xml:space="preserve">    NoSun,                   !- Sun Exposure</v>
      </c>
    </row>
    <row r="1818" spans="3:3" x14ac:dyDescent="0.3">
      <c r="C1818" t="str">
        <f>constructions!D689</f>
        <v xml:space="preserve">    NoWind,                  !- Wind Exposure</v>
      </c>
    </row>
    <row r="1819" spans="3:3" x14ac:dyDescent="0.3">
      <c r="C1819" t="str">
        <f>constructions!D690</f>
        <v xml:space="preserve">    ,                        !- View Factor to Ground</v>
      </c>
    </row>
    <row r="1820" spans="3:3" x14ac:dyDescent="0.3">
      <c r="C1820" t="str">
        <f>constructions!D691</f>
        <v xml:space="preserve">    ,                        !- Number of Vertices</v>
      </c>
    </row>
    <row r="1821" spans="3:3" x14ac:dyDescent="0.3">
      <c r="C1821" t="str">
        <f>constructions!D692</f>
        <v xml:space="preserve">    2.66,                    !- Vertex 1 X-coordinate {m}</v>
      </c>
    </row>
    <row r="1822" spans="3:3" x14ac:dyDescent="0.3">
      <c r="C1822" t="str">
        <f>constructions!D693</f>
        <v xml:space="preserve">    1.81999999999999,        !- Vertex 1 Y-coordinate {m}</v>
      </c>
    </row>
    <row r="1823" spans="3:3" x14ac:dyDescent="0.3">
      <c r="C1823" t="str">
        <f>constructions!D694</f>
        <v xml:space="preserve">    0,                       !- Vertex 1 Z-coordinate {m}</v>
      </c>
    </row>
    <row r="1824" spans="3:3" x14ac:dyDescent="0.3">
      <c r="C1824" t="str">
        <f>constructions!D695</f>
        <v xml:space="preserve">    2.66,                    !- Vertex 2 X-coordinate {m}</v>
      </c>
    </row>
    <row r="1825" spans="3:3" x14ac:dyDescent="0.3">
      <c r="C1825" t="str">
        <f>constructions!D696</f>
        <v xml:space="preserve">    0,                       !- Vertex 2 Y-coordinate {m}</v>
      </c>
    </row>
    <row r="1826" spans="3:3" x14ac:dyDescent="0.3">
      <c r="C1826" t="str">
        <f>constructions!D697</f>
        <v xml:space="preserve">    0,                       !- Vertex 2 Z-coordinate {m}</v>
      </c>
    </row>
    <row r="1827" spans="3:3" x14ac:dyDescent="0.3">
      <c r="C1827" t="str">
        <f>constructions!D698</f>
        <v xml:space="preserve">    0,                       !- Vertex 3 X-coordinate {m}</v>
      </c>
    </row>
    <row r="1828" spans="3:3" x14ac:dyDescent="0.3">
      <c r="C1828" t="str">
        <f>constructions!D699</f>
        <v xml:space="preserve">    0,                       !- Vertex 3 Y-coordinate {m}</v>
      </c>
    </row>
    <row r="1829" spans="3:3" x14ac:dyDescent="0.3">
      <c r="C1829" t="str">
        <f>constructions!D700</f>
        <v xml:space="preserve">    0,                       !- Vertex 3 Z-coordinate {m}</v>
      </c>
    </row>
    <row r="1830" spans="3:3" x14ac:dyDescent="0.3">
      <c r="C1830" t="str">
        <f>constructions!D701</f>
        <v xml:space="preserve">    0,                       !- Vertex 4 X-coordinate {m}</v>
      </c>
    </row>
    <row r="1831" spans="3:3" x14ac:dyDescent="0.3">
      <c r="C1831" t="str">
        <f>constructions!D702</f>
        <v xml:space="preserve">    1.81999999999999,        !- Vertex 4 Y-coordinate {m}</v>
      </c>
    </row>
    <row r="1832" spans="3:3" x14ac:dyDescent="0.3">
      <c r="C1832" t="str">
        <f>constructions!D703</f>
        <v xml:space="preserve">    0;                       !- Vertex 4 Z-coordinate {m}</v>
      </c>
    </row>
    <row r="1833" spans="3:3" x14ac:dyDescent="0.3">
      <c r="C1833" t="str">
        <f>constructions!D704</f>
        <v/>
      </c>
    </row>
    <row r="1834" spans="3:3" x14ac:dyDescent="0.3">
      <c r="C1834" t="str">
        <f>constructions!D705</f>
        <v>BuildingSurface:Detailed,</v>
      </c>
    </row>
    <row r="1835" spans="3:3" x14ac:dyDescent="0.3">
      <c r="C1835" t="str">
        <f>constructions!D706</f>
        <v xml:space="preserve">    Surface 32,              !- Name</v>
      </c>
    </row>
    <row r="1836" spans="3:3" x14ac:dyDescent="0.3">
      <c r="C1836" t="str">
        <f>constructions!D707</f>
        <v xml:space="preserve">    Ceiling,                 !- Surface Type</v>
      </c>
    </row>
    <row r="1837" spans="3:3" x14ac:dyDescent="0.3">
      <c r="C1837" t="str">
        <f>constructions!D708</f>
        <v>Forro PVC,               !- Construction Name</v>
      </c>
    </row>
    <row r="1838" spans="3:3" x14ac:dyDescent="0.3">
      <c r="C1838" t="str">
        <f>constructions!D709</f>
        <v xml:space="preserve">    Banheiro,                !- Zone Name</v>
      </c>
    </row>
    <row r="1839" spans="3:3" x14ac:dyDescent="0.3">
      <c r="C1839" t="str">
        <f>constructions!D710</f>
        <v xml:space="preserve">    Surface,                 !- Outside Boundary Condition</v>
      </c>
    </row>
    <row r="1840" spans="3:3" x14ac:dyDescent="0.3">
      <c r="C1840" t="str">
        <f>constructions!D711</f>
        <v xml:space="preserve">    ForroBanheiro,           !- Outside Boundary Condition Object</v>
      </c>
    </row>
    <row r="1841" spans="3:3" x14ac:dyDescent="0.3">
      <c r="C1841" t="str">
        <f>constructions!D712</f>
        <v xml:space="preserve">    NoSun,                   !- Sun Exposure</v>
      </c>
    </row>
    <row r="1842" spans="3:3" x14ac:dyDescent="0.3">
      <c r="C1842" t="str">
        <f>constructions!D713</f>
        <v xml:space="preserve">    NoWind,                  !- Wind Exposure</v>
      </c>
    </row>
    <row r="1843" spans="3:3" x14ac:dyDescent="0.3">
      <c r="C1843" t="str">
        <f>constructions!D714</f>
        <v xml:space="preserve">    ,                        !- View Factor to Ground</v>
      </c>
    </row>
    <row r="1844" spans="3:3" x14ac:dyDescent="0.3">
      <c r="C1844" t="str">
        <f>constructions!D715</f>
        <v xml:space="preserve">    ,                        !- Number of Vertices</v>
      </c>
    </row>
    <row r="1845" spans="3:3" x14ac:dyDescent="0.3">
      <c r="C1845" t="str">
        <f>constructions!D716</f>
        <v xml:space="preserve">    2.66,                    !- Vertex 1 X-coordinate {m}</v>
      </c>
    </row>
    <row r="1846" spans="3:3" x14ac:dyDescent="0.3">
      <c r="C1846" t="str">
        <f>constructions!D717</f>
        <v xml:space="preserve">    0,                       !- Vertex 1 Y-coordinate {m}</v>
      </c>
    </row>
    <row r="1847" spans="3:3" x14ac:dyDescent="0.3">
      <c r="C1847" t="str">
        <f>constructions!D718</f>
        <v xml:space="preserve">    2.7,                     !- Vertex 1 Z-coordinate {m}</v>
      </c>
    </row>
    <row r="1848" spans="3:3" x14ac:dyDescent="0.3">
      <c r="C1848" t="str">
        <f>constructions!D719</f>
        <v xml:space="preserve">    2.66,                    !- Vertex 2 X-coordinate {m}</v>
      </c>
    </row>
    <row r="1849" spans="3:3" x14ac:dyDescent="0.3">
      <c r="C1849" t="str">
        <f>constructions!D720</f>
        <v xml:space="preserve">    1.81999999999999,        !- Vertex 2 Y-coordinate {m}</v>
      </c>
    </row>
    <row r="1850" spans="3:3" x14ac:dyDescent="0.3">
      <c r="C1850" t="str">
        <f>constructions!D721</f>
        <v xml:space="preserve">    2.7,                     !- Vertex 2 Z-coordinate {m}</v>
      </c>
    </row>
    <row r="1851" spans="3:3" x14ac:dyDescent="0.3">
      <c r="C1851" t="str">
        <f>constructions!D722</f>
        <v xml:space="preserve">    0,                       !- Vertex 3 X-coordinate {m}</v>
      </c>
    </row>
    <row r="1852" spans="3:3" x14ac:dyDescent="0.3">
      <c r="C1852" t="str">
        <f>constructions!D723</f>
        <v xml:space="preserve">    1.81999999999999,        !- Vertex 3 Y-coordinate {m}</v>
      </c>
    </row>
    <row r="1853" spans="3:3" x14ac:dyDescent="0.3">
      <c r="C1853" t="str">
        <f>constructions!D724</f>
        <v xml:space="preserve">    2.7,                     !- Vertex 3 Z-coordinate {m}</v>
      </c>
    </row>
    <row r="1854" spans="3:3" x14ac:dyDescent="0.3">
      <c r="C1854" t="str">
        <f>constructions!D725</f>
        <v xml:space="preserve">    0,                       !- Vertex 4 X-coordinate {m}</v>
      </c>
    </row>
    <row r="1855" spans="3:3" x14ac:dyDescent="0.3">
      <c r="C1855" t="str">
        <f>constructions!D726</f>
        <v xml:space="preserve">    0,                       !- Vertex 4 Y-coordinate {m}</v>
      </c>
    </row>
    <row r="1856" spans="3:3" x14ac:dyDescent="0.3">
      <c r="C1856" t="str">
        <f>constructions!D727</f>
        <v xml:space="preserve">    2.7;                     !- Vertex 4 Z-coordinate {m}</v>
      </c>
    </row>
    <row r="1857" spans="3:3" x14ac:dyDescent="0.3">
      <c r="C1857" t="str">
        <f>constructions!D728</f>
        <v/>
      </c>
    </row>
    <row r="1858" spans="3:3" x14ac:dyDescent="0.3">
      <c r="C1858" t="str">
        <f>constructions!D729</f>
        <v>BuildingSurface:Detailed,</v>
      </c>
    </row>
    <row r="1859" spans="3:3" x14ac:dyDescent="0.3">
      <c r="C1859" t="str">
        <f>constructions!D730</f>
        <v xml:space="preserve">    ForroBanheiro,           !- Name</v>
      </c>
    </row>
    <row r="1860" spans="3:3" x14ac:dyDescent="0.3">
      <c r="C1860" t="str">
        <f>constructions!D731</f>
        <v xml:space="preserve">    Floor,                   !- Surface Type</v>
      </c>
    </row>
    <row r="1861" spans="3:3" x14ac:dyDescent="0.3">
      <c r="C1861" t="str">
        <f>constructions!D732</f>
        <v>Forro PVC,               !- Construction Name</v>
      </c>
    </row>
    <row r="1862" spans="3:3" x14ac:dyDescent="0.3">
      <c r="C1862" t="str">
        <f>constructions!D733</f>
        <v xml:space="preserve">    Telhado1,                !- Zone Name</v>
      </c>
    </row>
    <row r="1863" spans="3:3" x14ac:dyDescent="0.3">
      <c r="C1863" t="str">
        <f>constructions!D734</f>
        <v xml:space="preserve">    Surface,                 !- Outside Boundary Condition</v>
      </c>
    </row>
    <row r="1864" spans="3:3" x14ac:dyDescent="0.3">
      <c r="C1864" t="str">
        <f>constructions!D735</f>
        <v xml:space="preserve">    Surface 32,              !- Outside Boundary Condition Object</v>
      </c>
    </row>
    <row r="1865" spans="3:3" x14ac:dyDescent="0.3">
      <c r="C1865" t="str">
        <f>constructions!D736</f>
        <v xml:space="preserve">    NoSun,                   !- Sun Exposure</v>
      </c>
    </row>
    <row r="1866" spans="3:3" x14ac:dyDescent="0.3">
      <c r="C1866" t="str">
        <f>constructions!D737</f>
        <v xml:space="preserve">    NoWind,                  !- Wind Exposure</v>
      </c>
    </row>
    <row r="1867" spans="3:3" x14ac:dyDescent="0.3">
      <c r="C1867" t="str">
        <f>constructions!D738</f>
        <v xml:space="preserve">    ,                        !- View Factor to Ground</v>
      </c>
    </row>
    <row r="1868" spans="3:3" x14ac:dyDescent="0.3">
      <c r="C1868" t="str">
        <f>constructions!D739</f>
        <v xml:space="preserve">    ,                        !- Number of Vertices</v>
      </c>
    </row>
    <row r="1869" spans="3:3" x14ac:dyDescent="0.3">
      <c r="C1869" t="str">
        <f>constructions!D740</f>
        <v xml:space="preserve">    2.66,                    !- Vertex 1 X-coordinate {m}</v>
      </c>
    </row>
    <row r="1870" spans="3:3" x14ac:dyDescent="0.3">
      <c r="C1870" t="str">
        <f>constructions!D741</f>
        <v xml:space="preserve">    6.73,                    !- Vertex 1 Y-coordinate {m}</v>
      </c>
    </row>
    <row r="1871" spans="3:3" x14ac:dyDescent="0.3">
      <c r="C1871" t="str">
        <f>constructions!D742</f>
        <v xml:space="preserve">    0,                       !- Vertex 1 Z-coordinate {m}</v>
      </c>
    </row>
    <row r="1872" spans="3:3" x14ac:dyDescent="0.3">
      <c r="C1872" t="str">
        <f>constructions!D743</f>
        <v xml:space="preserve">    2.66,                    !- Vertex 2 X-coordinate {m}</v>
      </c>
    </row>
    <row r="1873" spans="3:3" x14ac:dyDescent="0.3">
      <c r="C1873" t="str">
        <f>constructions!D744</f>
        <v xml:space="preserve">    4.91,                    !- Vertex 2 Y-coordinate {m}</v>
      </c>
    </row>
    <row r="1874" spans="3:3" x14ac:dyDescent="0.3">
      <c r="C1874" t="str">
        <f>constructions!D745</f>
        <v xml:space="preserve">    0,                       !- Vertex 2 Z-coordinate {m}</v>
      </c>
    </row>
    <row r="1875" spans="3:3" x14ac:dyDescent="0.3">
      <c r="C1875" t="str">
        <f>constructions!D746</f>
        <v xml:space="preserve">    0,                       !- Vertex 3 X-coordinate {m}</v>
      </c>
    </row>
    <row r="1876" spans="3:3" x14ac:dyDescent="0.3">
      <c r="C1876" t="str">
        <f>constructions!D747</f>
        <v xml:space="preserve">    4.91,                    !- Vertex 3 Y-coordinate {m}</v>
      </c>
    </row>
    <row r="1877" spans="3:3" x14ac:dyDescent="0.3">
      <c r="C1877" t="str">
        <f>constructions!D748</f>
        <v xml:space="preserve">    0,                       !- Vertex 3 Z-coordinate {m}</v>
      </c>
    </row>
    <row r="1878" spans="3:3" x14ac:dyDescent="0.3">
      <c r="C1878" t="str">
        <f>constructions!D749</f>
        <v xml:space="preserve">    0,                       !- Vertex 4 X-coordinate {m}</v>
      </c>
    </row>
    <row r="1879" spans="3:3" x14ac:dyDescent="0.3">
      <c r="C1879" t="str">
        <f>constructions!D750</f>
        <v xml:space="preserve">    6.73,                    !- Vertex 4 Y-coordinate {m}</v>
      </c>
    </row>
    <row r="1880" spans="3:3" x14ac:dyDescent="0.3">
      <c r="C1880" t="str">
        <f>constructions!D751</f>
        <v xml:space="preserve">    0;                       !- Vertex 4 Z-coordinate {m}</v>
      </c>
    </row>
    <row r="1881" spans="3:3" x14ac:dyDescent="0.3">
      <c r="C1881" t="str">
        <f>constructions!D752</f>
        <v/>
      </c>
    </row>
    <row r="1882" spans="3:3" x14ac:dyDescent="0.3">
      <c r="C1882" t="str">
        <f>constructions!D753</f>
        <v>BuildingSurface:Detailed,</v>
      </c>
    </row>
    <row r="1883" spans="3:3" x14ac:dyDescent="0.3">
      <c r="C1883" t="str">
        <f>constructions!D754</f>
        <v xml:space="preserve">    ForroSala1,              !- Name</v>
      </c>
    </row>
    <row r="1884" spans="3:3" x14ac:dyDescent="0.3">
      <c r="C1884" t="str">
        <f>constructions!D755</f>
        <v xml:space="preserve">    Floor,                   !- Surface Type</v>
      </c>
    </row>
    <row r="1885" spans="3:3" x14ac:dyDescent="0.3">
      <c r="C1885" t="str">
        <f>constructions!D756</f>
        <v>Forro PVC,               !- Construction Name</v>
      </c>
    </row>
    <row r="1886" spans="3:3" x14ac:dyDescent="0.3">
      <c r="C1886" t="str">
        <f>constructions!D757</f>
        <v xml:space="preserve">    Telhado1,                !- Zone Name</v>
      </c>
    </row>
    <row r="1887" spans="3:3" x14ac:dyDescent="0.3">
      <c r="C1887" t="str">
        <f>constructions!D758</f>
        <v xml:space="preserve">    Ground,                  !- Outside Boundary Condition</v>
      </c>
    </row>
    <row r="1888" spans="3:3" x14ac:dyDescent="0.3">
      <c r="C1888" t="str">
        <f>constructions!D759</f>
        <v xml:space="preserve">    ,                        !- Outside Boundary Condition Object</v>
      </c>
    </row>
    <row r="1889" spans="3:3" x14ac:dyDescent="0.3">
      <c r="C1889" t="str">
        <f>constructions!D760</f>
        <v xml:space="preserve">    NoSun,                   !- Sun Exposure</v>
      </c>
    </row>
    <row r="1890" spans="3:3" x14ac:dyDescent="0.3">
      <c r="C1890" t="str">
        <f>constructions!D761</f>
        <v xml:space="preserve">    NoWind,                  !- Wind Exposure</v>
      </c>
    </row>
    <row r="1891" spans="3:3" x14ac:dyDescent="0.3">
      <c r="C1891" t="str">
        <f>constructions!D762</f>
        <v xml:space="preserve">    ,                        !- View Factor to Ground</v>
      </c>
    </row>
    <row r="1892" spans="3:3" x14ac:dyDescent="0.3">
      <c r="C1892" t="str">
        <f>constructions!D763</f>
        <v xml:space="preserve">    ,                        !- Number of Vertices</v>
      </c>
    </row>
    <row r="1893" spans="3:3" x14ac:dyDescent="0.3">
      <c r="C1893" t="str">
        <f>constructions!D764</f>
        <v xml:space="preserve">    3.295,                   !- Vertex 1 X-coordinate {m}</v>
      </c>
    </row>
    <row r="1894" spans="3:3" x14ac:dyDescent="0.3">
      <c r="C1894" t="str">
        <f>constructions!D765</f>
        <v xml:space="preserve">    6.73,                    !- Vertex 1 Y-coordinate {m}</v>
      </c>
    </row>
    <row r="1895" spans="3:3" x14ac:dyDescent="0.3">
      <c r="C1895" t="str">
        <f>constructions!D766</f>
        <v xml:space="preserve">    0,                       !- Vertex 1 Z-coordinate {m}</v>
      </c>
    </row>
    <row r="1896" spans="3:3" x14ac:dyDescent="0.3">
      <c r="C1896" t="str">
        <f>constructions!D767</f>
        <v xml:space="preserve">    3.295,                   !- Vertex 2 X-coordinate {m}</v>
      </c>
    </row>
    <row r="1897" spans="3:3" x14ac:dyDescent="0.3">
      <c r="C1897" t="str">
        <f>constructions!D768</f>
        <v xml:space="preserve">    0,                       !- Vertex 2 Y-coordinate {m}</v>
      </c>
    </row>
    <row r="1898" spans="3:3" x14ac:dyDescent="0.3">
      <c r="C1898" t="str">
        <f>constructions!D769</f>
        <v xml:space="preserve">    3.60955709766131e-016,   !- Vertex 2 Z-coordinate {m}</v>
      </c>
    </row>
    <row r="1899" spans="3:3" x14ac:dyDescent="0.3">
      <c r="C1899" t="str">
        <f>constructions!D770</f>
        <v xml:space="preserve">    0,                       !- Vertex 3 X-coordinate {m}</v>
      </c>
    </row>
    <row r="1900" spans="3:3" x14ac:dyDescent="0.3">
      <c r="C1900" t="str">
        <f>constructions!D771</f>
        <v xml:space="preserve">    0,                       !- Vertex 3 Y-coordinate {m}</v>
      </c>
    </row>
    <row r="1901" spans="3:3" x14ac:dyDescent="0.3">
      <c r="C1901" t="str">
        <f>constructions!D772</f>
        <v xml:space="preserve">    0,                       !- Vertex 3 Z-coordinate {m}</v>
      </c>
    </row>
    <row r="1902" spans="3:3" x14ac:dyDescent="0.3">
      <c r="C1902" t="str">
        <f>constructions!D773</f>
        <v xml:space="preserve">    0,                       !- Vertex 4 X-coordinate {m}</v>
      </c>
    </row>
    <row r="1903" spans="3:3" x14ac:dyDescent="0.3">
      <c r="C1903" t="str">
        <f>constructions!D774</f>
        <v xml:space="preserve">    4.91,                    !- Vertex 4 Y-coordinate {m}</v>
      </c>
    </row>
    <row r="1904" spans="3:3" x14ac:dyDescent="0.3">
      <c r="C1904" t="str">
        <f>constructions!D775</f>
        <v xml:space="preserve">    0,                       !- Vertex 4 Z-coordinate {m}</v>
      </c>
    </row>
    <row r="1905" spans="3:3" x14ac:dyDescent="0.3">
      <c r="C1905" t="str">
        <f>constructions!D776</f>
        <v xml:space="preserve">    2.66,                    !- Vertex 5 X-coordinate {m}</v>
      </c>
    </row>
    <row r="1906" spans="3:3" x14ac:dyDescent="0.3">
      <c r="C1906" t="str">
        <f>constructions!D777</f>
        <v xml:space="preserve">    4.91,                    !- Vertex 5 Y-coordinate {m}</v>
      </c>
    </row>
    <row r="1907" spans="3:3" x14ac:dyDescent="0.3">
      <c r="C1907" t="str">
        <f>constructions!D778</f>
        <v xml:space="preserve">    0,                       !- Vertex 5 Z-coordinate {m}</v>
      </c>
    </row>
    <row r="1908" spans="3:3" x14ac:dyDescent="0.3">
      <c r="C1908" t="str">
        <f>constructions!D779</f>
        <v xml:space="preserve">    2.66,                    !- Vertex 6 X-coordinate {m}</v>
      </c>
    </row>
    <row r="1909" spans="3:3" x14ac:dyDescent="0.3">
      <c r="C1909" t="str">
        <f>constructions!D780</f>
        <v xml:space="preserve">    6.73,                    !- Vertex 6 Y-coordinate {m}</v>
      </c>
    </row>
    <row r="1910" spans="3:3" x14ac:dyDescent="0.3">
      <c r="C1910" t="str">
        <f>constructions!D781</f>
        <v xml:space="preserve">    0;                       !- Vertex 6 Z-coordinate {m}</v>
      </c>
    </row>
    <row r="1911" spans="3:3" x14ac:dyDescent="0.3">
      <c r="C1911" t="str">
        <f>constructions!D782</f>
        <v/>
      </c>
    </row>
    <row r="1912" spans="3:3" x14ac:dyDescent="0.3">
      <c r="C1912" t="str">
        <f>constructions!D783</f>
        <v>BuildingSurface:Detailed,</v>
      </c>
    </row>
    <row r="1913" spans="3:3" x14ac:dyDescent="0.3">
      <c r="C1913" t="str">
        <f>constructions!D784</f>
        <v xml:space="preserve">    ParedeIntTelhado1Telhado2,  !- Name</v>
      </c>
    </row>
    <row r="1914" spans="3:3" x14ac:dyDescent="0.3">
      <c r="C1914" t="str">
        <f>constructions!D785</f>
        <v xml:space="preserve">    Wall,                    !- Surface Type</v>
      </c>
    </row>
    <row r="1915" spans="3:3" x14ac:dyDescent="0.3">
      <c r="C1915" t="str">
        <f>constructions!D786</f>
        <v>Parede  Tijolo cerâmico 9x14x24 c/ argamassa int e ext             ,  !- Construction Name</v>
      </c>
    </row>
    <row r="1916" spans="3:3" x14ac:dyDescent="0.3">
      <c r="C1916" t="str">
        <f>constructions!D787</f>
        <v xml:space="preserve">    Telhado1,                !- Zone Name</v>
      </c>
    </row>
    <row r="1917" spans="3:3" x14ac:dyDescent="0.3">
      <c r="C1917" t="str">
        <f>constructions!D788</f>
        <v xml:space="preserve">    Surface,                 !- Outside Boundary Condition</v>
      </c>
    </row>
    <row r="1918" spans="3:3" x14ac:dyDescent="0.3">
      <c r="C1918" t="str">
        <f>constructions!D789</f>
        <v xml:space="preserve">    ParedeIntTelhado2Telhado1,  !- Outside Boundary Condition Object</v>
      </c>
    </row>
    <row r="1919" spans="3:3" x14ac:dyDescent="0.3">
      <c r="C1919" t="str">
        <f>constructions!D790</f>
        <v xml:space="preserve">    NoSun,                   !- Sun Exposure</v>
      </c>
    </row>
    <row r="1920" spans="3:3" x14ac:dyDescent="0.3">
      <c r="C1920" t="str">
        <f>constructions!D791</f>
        <v xml:space="preserve">    NoWind,                  !- Wind Exposure</v>
      </c>
    </row>
    <row r="1921" spans="3:3" x14ac:dyDescent="0.3">
      <c r="C1921" t="str">
        <f>constructions!D792</f>
        <v xml:space="preserve">    ,                        !- View Factor to Ground</v>
      </c>
    </row>
    <row r="1922" spans="3:3" x14ac:dyDescent="0.3">
      <c r="C1922" t="str">
        <f>constructions!D793</f>
        <v xml:space="preserve">    ,                        !- Number of Vertices</v>
      </c>
    </row>
    <row r="1923" spans="3:3" x14ac:dyDescent="0.3">
      <c r="C1923" t="str">
        <f>constructions!D794</f>
        <v xml:space="preserve">    3.295,                   !- Vertex 1 X-coordinate {m}</v>
      </c>
    </row>
    <row r="1924" spans="3:3" x14ac:dyDescent="0.3">
      <c r="C1924" t="str">
        <f>constructions!D795</f>
        <v xml:space="preserve">    0,                       !- Vertex 1 Y-coordinate {m}</v>
      </c>
    </row>
    <row r="1925" spans="3:3" x14ac:dyDescent="0.3">
      <c r="C1925" t="str">
        <f>constructions!D796</f>
        <v xml:space="preserve">    1.4,                     !- Vertex 1 Z-coordinate {m}</v>
      </c>
    </row>
    <row r="1926" spans="3:3" x14ac:dyDescent="0.3">
      <c r="C1926" t="str">
        <f>constructions!D797</f>
        <v xml:space="preserve">    3.295,                   !- Vertex 2 X-coordinate {m}</v>
      </c>
    </row>
    <row r="1927" spans="3:3" x14ac:dyDescent="0.3">
      <c r="C1927" t="str">
        <f>constructions!D798</f>
        <v xml:space="preserve">    0,                       !- Vertex 2 Y-coordinate {m}</v>
      </c>
    </row>
    <row r="1928" spans="3:3" x14ac:dyDescent="0.3">
      <c r="C1928" t="str">
        <f>constructions!D799</f>
        <v xml:space="preserve">    3.60955709766131e-016,   !- Vertex 2 Z-coordinate {m}</v>
      </c>
    </row>
    <row r="1929" spans="3:3" x14ac:dyDescent="0.3">
      <c r="C1929" t="str">
        <f>constructions!D800</f>
        <v xml:space="preserve">    3.295,                   !- Vertex 3 X-coordinate {m}</v>
      </c>
    </row>
    <row r="1930" spans="3:3" x14ac:dyDescent="0.3">
      <c r="C1930" t="str">
        <f>constructions!D801</f>
        <v xml:space="preserve">    6.73,                    !- Vertex 3 Y-coordinate {m}</v>
      </c>
    </row>
    <row r="1931" spans="3:3" x14ac:dyDescent="0.3">
      <c r="C1931" t="str">
        <f>constructions!D802</f>
        <v xml:space="preserve">    0,                       !- Vertex 3 Z-coordinate {m}</v>
      </c>
    </row>
    <row r="1932" spans="3:3" x14ac:dyDescent="0.3">
      <c r="C1932" t="str">
        <f>constructions!D803</f>
        <v xml:space="preserve">    3.295,                   !- Vertex 4 X-coordinate {m}</v>
      </c>
    </row>
    <row r="1933" spans="3:3" x14ac:dyDescent="0.3">
      <c r="C1933" t="str">
        <f>constructions!D804</f>
        <v xml:space="preserve">    6.73,                    !- Vertex 4 Y-coordinate {m}</v>
      </c>
    </row>
    <row r="1934" spans="3:3" x14ac:dyDescent="0.3">
      <c r="C1934" t="str">
        <f>constructions!D805</f>
        <v xml:space="preserve">    1.4;                     !- Vertex 4 Z-coordinate {m}</v>
      </c>
    </row>
    <row r="1935" spans="3:3" x14ac:dyDescent="0.3">
      <c r="C1935" t="str">
        <f>constructions!D806</f>
        <v/>
      </c>
    </row>
    <row r="1936" spans="3:3" x14ac:dyDescent="0.3">
      <c r="C1936" t="str">
        <f>constructions!D807</f>
        <v>BuildingSurface:Detailed,</v>
      </c>
    </row>
    <row r="1937" spans="3:3" x14ac:dyDescent="0.3">
      <c r="C1937" t="str">
        <f>constructions!D808</f>
        <v xml:space="preserve">    ParedeTelhado1Norte,     !- Name</v>
      </c>
    </row>
    <row r="1938" spans="3:3" x14ac:dyDescent="0.3">
      <c r="C1938" t="str">
        <f>constructions!D809</f>
        <v xml:space="preserve">    Wall,                    !- Surface Type</v>
      </c>
    </row>
    <row r="1939" spans="3:3" x14ac:dyDescent="0.3">
      <c r="C1939" t="str">
        <f>constructions!D810</f>
        <v>Parede  Tijolo cerâmico 9x14x24 c/ argamassa int e ext             ,  !- Construction Name</v>
      </c>
    </row>
    <row r="1940" spans="3:3" x14ac:dyDescent="0.3">
      <c r="C1940" t="str">
        <f>constructions!D811</f>
        <v xml:space="preserve">    Telhado1,                !- Zone Name</v>
      </c>
    </row>
    <row r="1941" spans="3:3" x14ac:dyDescent="0.3">
      <c r="C1941" t="str">
        <f>constructions!D812</f>
        <v xml:space="preserve">    Outdoors,                !- Outside Boundary Condition</v>
      </c>
    </row>
    <row r="1942" spans="3:3" x14ac:dyDescent="0.3">
      <c r="C1942" t="str">
        <f>constructions!D813</f>
        <v xml:space="preserve">    ,                        !- Outside Boundary Condition Object</v>
      </c>
    </row>
    <row r="1943" spans="3:3" x14ac:dyDescent="0.3">
      <c r="C1943" t="str">
        <f>constructions!D814</f>
        <v xml:space="preserve">    SunExposed,              !- Sun Exposure</v>
      </c>
    </row>
    <row r="1944" spans="3:3" x14ac:dyDescent="0.3">
      <c r="C1944" t="str">
        <f>constructions!D815</f>
        <v xml:space="preserve">    WindExposed,             !- Wind Exposure</v>
      </c>
    </row>
    <row r="1945" spans="3:3" x14ac:dyDescent="0.3">
      <c r="C1945" t="str">
        <f>constructions!D816</f>
        <v xml:space="preserve">    ,                        !- View Factor to Ground</v>
      </c>
    </row>
    <row r="1946" spans="3:3" x14ac:dyDescent="0.3">
      <c r="C1946" t="str">
        <f>constructions!D817</f>
        <v xml:space="preserve">    ,                        !- Number of Vertices</v>
      </c>
    </row>
    <row r="1947" spans="3:3" x14ac:dyDescent="0.3">
      <c r="C1947" t="str">
        <f>constructions!D818</f>
        <v xml:space="preserve">    3.295,                   !- Vertex 1 X-coordinate {m}</v>
      </c>
    </row>
    <row r="1948" spans="3:3" x14ac:dyDescent="0.3">
      <c r="C1948" t="str">
        <f>constructions!D819</f>
        <v xml:space="preserve">    6.73,                    !- Vertex 1 Y-coordinate {m}</v>
      </c>
    </row>
    <row r="1949" spans="3:3" x14ac:dyDescent="0.3">
      <c r="C1949" t="str">
        <f>constructions!D820</f>
        <v xml:space="preserve">    1.4,                     !- Vertex 1 Z-coordinate {m}</v>
      </c>
    </row>
    <row r="1950" spans="3:3" x14ac:dyDescent="0.3">
      <c r="C1950" t="str">
        <f>constructions!D821</f>
        <v xml:space="preserve">    3.295,                   !- Vertex 2 X-coordinate {m}</v>
      </c>
    </row>
    <row r="1951" spans="3:3" x14ac:dyDescent="0.3">
      <c r="C1951" t="str">
        <f>constructions!D822</f>
        <v xml:space="preserve">    6.73,                    !- Vertex 2 Y-coordinate {m}</v>
      </c>
    </row>
    <row r="1952" spans="3:3" x14ac:dyDescent="0.3">
      <c r="C1952" t="str">
        <f>constructions!D823</f>
        <v xml:space="preserve">    0,                       !- Vertex 2 Z-coordinate {m}</v>
      </c>
    </row>
    <row r="1953" spans="3:3" x14ac:dyDescent="0.3">
      <c r="C1953" t="str">
        <f>constructions!D824</f>
        <v xml:space="preserve">    0,                       !- Vertex 3 X-coordinate {m}</v>
      </c>
    </row>
    <row r="1954" spans="3:3" x14ac:dyDescent="0.3">
      <c r="C1954" t="str">
        <f>constructions!D825</f>
        <v xml:space="preserve">    6.73,                    !- Vertex 3 Y-coordinate {m}</v>
      </c>
    </row>
    <row r="1955" spans="3:3" x14ac:dyDescent="0.3">
      <c r="C1955" t="str">
        <f>constructions!D826</f>
        <v xml:space="preserve">    0;                       !- Vertex 3 Z-coordinate {m}</v>
      </c>
    </row>
    <row r="1956" spans="3:3" x14ac:dyDescent="0.3">
      <c r="C1956" t="str">
        <f>constructions!D827</f>
        <v/>
      </c>
    </row>
    <row r="1957" spans="3:3" x14ac:dyDescent="0.3">
      <c r="C1957" t="str">
        <f>constructions!D828</f>
        <v>BuildingSurface:Detailed,</v>
      </c>
    </row>
    <row r="1958" spans="3:3" x14ac:dyDescent="0.3">
      <c r="C1958" t="str">
        <f>constructions!D829</f>
        <v xml:space="preserve">    ParedeTelhado1Sul,       !- Name</v>
      </c>
    </row>
    <row r="1959" spans="3:3" x14ac:dyDescent="0.3">
      <c r="C1959" t="str">
        <f>constructions!D830</f>
        <v xml:space="preserve">    Wall,                    !- Surface Type</v>
      </c>
    </row>
    <row r="1960" spans="3:3" x14ac:dyDescent="0.3">
      <c r="C1960" t="str">
        <f>constructions!D831</f>
        <v>Parede  Tijolo cerâmico 9x14x24 c/ argamassa int e ext             ,  !- Construction Name</v>
      </c>
    </row>
    <row r="1961" spans="3:3" x14ac:dyDescent="0.3">
      <c r="C1961" t="str">
        <f>constructions!D832</f>
        <v xml:space="preserve">    Telhado1,                !- Zone Name</v>
      </c>
    </row>
    <row r="1962" spans="3:3" x14ac:dyDescent="0.3">
      <c r="C1962" t="str">
        <f>constructions!D833</f>
        <v xml:space="preserve">    Outdoors,                !- Outside Boundary Condition</v>
      </c>
    </row>
    <row r="1963" spans="3:3" x14ac:dyDescent="0.3">
      <c r="C1963" t="str">
        <f>constructions!D834</f>
        <v xml:space="preserve">    ,                        !- Outside Boundary Condition Object</v>
      </c>
    </row>
    <row r="1964" spans="3:3" x14ac:dyDescent="0.3">
      <c r="C1964" t="str">
        <f>constructions!D835</f>
        <v xml:space="preserve">    SunExposed,              !- Sun Exposure</v>
      </c>
    </row>
    <row r="1965" spans="3:3" x14ac:dyDescent="0.3">
      <c r="C1965" t="str">
        <f>constructions!D836</f>
        <v xml:space="preserve">    WindExposed,             !- Wind Exposure</v>
      </c>
    </row>
    <row r="1966" spans="3:3" x14ac:dyDescent="0.3">
      <c r="C1966" t="str">
        <f>constructions!D837</f>
        <v xml:space="preserve">    ,                        !- View Factor to Ground</v>
      </c>
    </row>
    <row r="1967" spans="3:3" x14ac:dyDescent="0.3">
      <c r="C1967" t="str">
        <f>constructions!D838</f>
        <v xml:space="preserve">    ,                        !- Number of Vertices</v>
      </c>
    </row>
    <row r="1968" spans="3:3" x14ac:dyDescent="0.3">
      <c r="C1968" t="str">
        <f>constructions!D839</f>
        <v xml:space="preserve">    3.295,                   !- Vertex 1 X-coordinate {m}</v>
      </c>
    </row>
    <row r="1969" spans="3:3" x14ac:dyDescent="0.3">
      <c r="C1969" t="str">
        <f>constructions!D840</f>
        <v xml:space="preserve">    0,                       !- Vertex 1 Y-coordinate {m}</v>
      </c>
    </row>
    <row r="1970" spans="3:3" x14ac:dyDescent="0.3">
      <c r="C1970" t="str">
        <f>constructions!D841</f>
        <v xml:space="preserve">    1.4,                     !- Vertex 1 Z-coordinate {m}</v>
      </c>
    </row>
    <row r="1971" spans="3:3" x14ac:dyDescent="0.3">
      <c r="C1971" t="str">
        <f>constructions!D842</f>
        <v xml:space="preserve">    0,                       !- Vertex 2 X-coordinate {m}</v>
      </c>
    </row>
    <row r="1972" spans="3:3" x14ac:dyDescent="0.3">
      <c r="C1972" t="str">
        <f>constructions!D843</f>
        <v xml:space="preserve">    0,                       !- Vertex 2 Y-coordinate {m}</v>
      </c>
    </row>
    <row r="1973" spans="3:3" x14ac:dyDescent="0.3">
      <c r="C1973" t="str">
        <f>constructions!D844</f>
        <v xml:space="preserve">    0,                       !- Vertex 2 Z-coordinate {m}</v>
      </c>
    </row>
    <row r="1974" spans="3:3" x14ac:dyDescent="0.3">
      <c r="C1974" t="str">
        <f>constructions!D845</f>
        <v xml:space="preserve">    3.295,                   !- Vertex 3 X-coordinate {m}</v>
      </c>
    </row>
    <row r="1975" spans="3:3" x14ac:dyDescent="0.3">
      <c r="C1975" t="str">
        <f>constructions!D846</f>
        <v xml:space="preserve">    0,                       !- Vertex 3 Y-coordinate {m}</v>
      </c>
    </row>
    <row r="1976" spans="3:3" x14ac:dyDescent="0.3">
      <c r="C1976" t="str">
        <f>constructions!D847</f>
        <v xml:space="preserve">    3.60955709766131e-016;   !- Vertex 3 Z-coordinate {m}</v>
      </c>
    </row>
    <row r="1977" spans="3:3" x14ac:dyDescent="0.3">
      <c r="C1977" t="str">
        <f>constructions!D848</f>
        <v/>
      </c>
    </row>
    <row r="1978" spans="3:3" x14ac:dyDescent="0.3">
      <c r="C1978" t="str">
        <f>constructions!D849</f>
        <v>BuildingSurface:Detailed,</v>
      </c>
    </row>
    <row r="1979" spans="3:3" x14ac:dyDescent="0.3">
      <c r="C1979" t="str">
        <f>constructions!D850</f>
        <v xml:space="preserve">    Telha1,                  !- Name</v>
      </c>
    </row>
    <row r="1980" spans="3:3" x14ac:dyDescent="0.3">
      <c r="C1980" t="str">
        <f>constructions!D851</f>
        <v xml:space="preserve">    Roof,                    !- Surface Type</v>
      </c>
    </row>
    <row r="1981" spans="3:3" x14ac:dyDescent="0.3">
      <c r="C1981" t="str">
        <f>constructions!D852</f>
        <v>Telha ceramica,!- Construction Name</v>
      </c>
    </row>
    <row r="1982" spans="3:3" x14ac:dyDescent="0.3">
      <c r="C1982" t="str">
        <f>constructions!D853</f>
        <v xml:space="preserve">    Telhado1,                !- Zone Name</v>
      </c>
    </row>
    <row r="1983" spans="3:3" x14ac:dyDescent="0.3">
      <c r="C1983" t="str">
        <f>constructions!D854</f>
        <v xml:space="preserve">    Outdoors,                !- Outside Boundary Condition</v>
      </c>
    </row>
    <row r="1984" spans="3:3" x14ac:dyDescent="0.3">
      <c r="C1984" t="str">
        <f>constructions!D855</f>
        <v xml:space="preserve">    ,                        !- Outside Boundary Condition Object</v>
      </c>
    </row>
    <row r="1985" spans="3:3" x14ac:dyDescent="0.3">
      <c r="C1985" t="str">
        <f>constructions!D856</f>
        <v xml:space="preserve">    SunExposed,              !- Sun Exposure</v>
      </c>
    </row>
    <row r="1986" spans="3:3" x14ac:dyDescent="0.3">
      <c r="C1986" t="str">
        <f>constructions!D857</f>
        <v xml:space="preserve">    WindExposed,             !- Wind Exposure</v>
      </c>
    </row>
    <row r="1987" spans="3:3" x14ac:dyDescent="0.3">
      <c r="C1987" t="str">
        <f>constructions!D858</f>
        <v xml:space="preserve">    ,                        !- View Factor to Ground</v>
      </c>
    </row>
    <row r="1988" spans="3:3" x14ac:dyDescent="0.3">
      <c r="C1988" t="str">
        <f>constructions!D859</f>
        <v xml:space="preserve">    ,                        !- Number of Vertices</v>
      </c>
    </row>
    <row r="1989" spans="3:3" x14ac:dyDescent="0.3">
      <c r="C1989" t="str">
        <f>constructions!D860</f>
        <v xml:space="preserve">    3.295,                   !- Vertex 1 X-coordinate {m}</v>
      </c>
    </row>
    <row r="1990" spans="3:3" x14ac:dyDescent="0.3">
      <c r="C1990" t="str">
        <f>constructions!D861</f>
        <v xml:space="preserve">    6.73,                    !- Vertex 1 Y-coordinate {m}</v>
      </c>
    </row>
    <row r="1991" spans="3:3" x14ac:dyDescent="0.3">
      <c r="C1991" t="str">
        <f>constructions!D862</f>
        <v xml:space="preserve">    1.4,                     !- Vertex 1 Z-coordinate {m}</v>
      </c>
    </row>
    <row r="1992" spans="3:3" x14ac:dyDescent="0.3">
      <c r="C1992" t="str">
        <f>constructions!D863</f>
        <v xml:space="preserve">    0,                       !- Vertex 2 X-coordinate {m}</v>
      </c>
    </row>
    <row r="1993" spans="3:3" x14ac:dyDescent="0.3">
      <c r="C1993" t="str">
        <f>constructions!D864</f>
        <v xml:space="preserve">    6.73,                    !- Vertex 2 Y-coordinate {m}</v>
      </c>
    </row>
    <row r="1994" spans="3:3" x14ac:dyDescent="0.3">
      <c r="C1994" t="str">
        <f>constructions!D865</f>
        <v xml:space="preserve">    0,                       !- Vertex 2 Z-coordinate {m}</v>
      </c>
    </row>
    <row r="1995" spans="3:3" x14ac:dyDescent="0.3">
      <c r="C1995" t="str">
        <f>constructions!D866</f>
        <v xml:space="preserve">    0,                       !- Vertex 3 X-coordinate {m}</v>
      </c>
    </row>
    <row r="1996" spans="3:3" x14ac:dyDescent="0.3">
      <c r="C1996" t="str">
        <f>constructions!D867</f>
        <v xml:space="preserve">    0,                       !- Vertex 3 Y-coordinate {m}</v>
      </c>
    </row>
    <row r="1997" spans="3:3" x14ac:dyDescent="0.3">
      <c r="C1997" t="str">
        <f>constructions!D868</f>
        <v xml:space="preserve">    0,                       !- Vertex 3 Z-coordinate {m}</v>
      </c>
    </row>
    <row r="1998" spans="3:3" x14ac:dyDescent="0.3">
      <c r="C1998" t="str">
        <f>constructions!D869</f>
        <v xml:space="preserve">    3.295,                   !- Vertex 4 X-coordinate {m}</v>
      </c>
    </row>
    <row r="1999" spans="3:3" x14ac:dyDescent="0.3">
      <c r="C1999" t="str">
        <f>constructions!D870</f>
        <v xml:space="preserve">    0,                       !- Vertex 4 Y-coordinate {m}</v>
      </c>
    </row>
    <row r="2000" spans="3:3" x14ac:dyDescent="0.3">
      <c r="C2000" t="str">
        <f>constructions!D871</f>
        <v xml:space="preserve">    1.4;                     !- Vertex 4 Z-coordinate {m}</v>
      </c>
    </row>
    <row r="2001" spans="3:3" x14ac:dyDescent="0.3">
      <c r="C2001" t="str">
        <f>constructions!D872</f>
        <v/>
      </c>
    </row>
    <row r="2002" spans="3:3" x14ac:dyDescent="0.3">
      <c r="C2002" t="str">
        <f>constructions!D873</f>
        <v>BuildingSurface:Detailed,</v>
      </c>
    </row>
    <row r="2003" spans="3:3" x14ac:dyDescent="0.3">
      <c r="C2003" t="str">
        <f>constructions!D874</f>
        <v xml:space="preserve">    ForroQuarto1,            !- Name</v>
      </c>
    </row>
    <row r="2004" spans="3:3" x14ac:dyDescent="0.3">
      <c r="C2004" t="str">
        <f>constructions!D875</f>
        <v xml:space="preserve">    Floor,                   !- Surface Type</v>
      </c>
    </row>
    <row r="2005" spans="3:3" x14ac:dyDescent="0.3">
      <c r="C2005" t="str">
        <f>constructions!D876</f>
        <v>Forro PVC,               !- Construction Name</v>
      </c>
    </row>
    <row r="2006" spans="3:3" x14ac:dyDescent="0.3">
      <c r="C2006" t="str">
        <f>constructions!D877</f>
        <v xml:space="preserve">    Telhado3,                !- Zone Name</v>
      </c>
    </row>
    <row r="2007" spans="3:3" x14ac:dyDescent="0.3">
      <c r="C2007" t="str">
        <f>constructions!D878</f>
        <v xml:space="preserve">    Surface,                 !- Outside Boundary Condition</v>
      </c>
    </row>
    <row r="2008" spans="3:3" x14ac:dyDescent="0.3">
      <c r="C2008" t="str">
        <f>constructions!D879</f>
        <v xml:space="preserve">    Surface 16,              !- Outside Boundary Condition Object</v>
      </c>
    </row>
    <row r="2009" spans="3:3" x14ac:dyDescent="0.3">
      <c r="C2009" t="str">
        <f>constructions!D880</f>
        <v xml:space="preserve">    NoSun,                   !- Sun Exposure</v>
      </c>
    </row>
    <row r="2010" spans="3:3" x14ac:dyDescent="0.3">
      <c r="C2010" t="str">
        <f>constructions!D881</f>
        <v xml:space="preserve">    NoWind,                  !- Wind Exposure</v>
      </c>
    </row>
    <row r="2011" spans="3:3" x14ac:dyDescent="0.3">
      <c r="C2011" t="str">
        <f>constructions!D882</f>
        <v xml:space="preserve">    ,                        !- View Factor to Ground</v>
      </c>
    </row>
    <row r="2012" spans="3:3" x14ac:dyDescent="0.3">
      <c r="C2012" t="str">
        <f>constructions!D883</f>
        <v xml:space="preserve">    ,                        !- Number of Vertices</v>
      </c>
    </row>
    <row r="2013" spans="3:3" x14ac:dyDescent="0.3">
      <c r="C2013" t="str">
        <f>constructions!D884</f>
        <v xml:space="preserve">    2.71999999999999,        !- Vertex 1 X-coordinate {m}</v>
      </c>
    </row>
    <row r="2014" spans="3:3" x14ac:dyDescent="0.3">
      <c r="C2014" t="str">
        <f>constructions!D885</f>
        <v xml:space="preserve">    2.95328087937421,        !- Vertex 1 Y-coordinate {m}</v>
      </c>
    </row>
    <row r="2015" spans="3:3" x14ac:dyDescent="0.3">
      <c r="C2015" t="str">
        <f>constructions!D886</f>
        <v xml:space="preserve">    2.29190243740329e-016,   !- Vertex 1 Z-coordinate {m}</v>
      </c>
    </row>
    <row r="2016" spans="3:3" x14ac:dyDescent="0.3">
      <c r="C2016" t="str">
        <f>constructions!D887</f>
        <v xml:space="preserve">    2.71999999999999,        !- Vertex 2 X-coordinate {m}</v>
      </c>
    </row>
    <row r="2017" spans="3:3" x14ac:dyDescent="0.3">
      <c r="C2017" t="str">
        <f>constructions!D888</f>
        <v xml:space="preserve">    3.97051280742744e-015,   !- Vertex 2 Y-coordinate {m}</v>
      </c>
    </row>
    <row r="2018" spans="3:3" x14ac:dyDescent="0.3">
      <c r="C2018" t="str">
        <f>constructions!D889</f>
        <v xml:space="preserve">    5.07092876337922e-016,   !- Vertex 2 Z-coordinate {m}</v>
      </c>
    </row>
    <row r="2019" spans="3:3" x14ac:dyDescent="0.3">
      <c r="C2019" t="str">
        <f>constructions!D890</f>
        <v xml:space="preserve">    -4.15099066231051e-015,  !- Vertex 3 X-coordinate {m}</v>
      </c>
    </row>
    <row r="2020" spans="3:3" x14ac:dyDescent="0.3">
      <c r="C2020" t="str">
        <f>constructions!D891</f>
        <v xml:space="preserve">    3.97051280742744e-015,   !- Vertex 3 Y-coordinate {m}</v>
      </c>
    </row>
    <row r="2021" spans="3:3" x14ac:dyDescent="0.3">
      <c r="C2021" t="str">
        <f>constructions!D892</f>
        <v xml:space="preserve">    4.87123888572633e-017,   !- Vertex 3 Z-coordinate {m}</v>
      </c>
    </row>
    <row r="2022" spans="3:3" x14ac:dyDescent="0.3">
      <c r="C2022" t="str">
        <f>constructions!D893</f>
        <v xml:space="preserve">    3.21593091018845e-032,   !- Vertex 4 X-coordinate {m}</v>
      </c>
    </row>
    <row r="2023" spans="3:3" x14ac:dyDescent="0.3">
      <c r="C2023" t="str">
        <f>constructions!D894</f>
        <v xml:space="preserve">    2.95328087937421,        !- Vertex 4 Y-coordinate {m}</v>
      </c>
    </row>
    <row r="2024" spans="3:3" x14ac:dyDescent="0.3">
      <c r="C2024" t="str">
        <f>constructions!D895</f>
        <v xml:space="preserve">    -2.29190243740328e-016;  !- Vertex 4 Z-coordinate {m}</v>
      </c>
    </row>
    <row r="2025" spans="3:3" x14ac:dyDescent="0.3">
      <c r="C2025" t="str">
        <f>constructions!D896</f>
        <v/>
      </c>
    </row>
    <row r="2026" spans="3:3" x14ac:dyDescent="0.3">
      <c r="C2026" t="str">
        <f>constructions!D897</f>
        <v>BuildingSurface:Detailed,</v>
      </c>
    </row>
    <row r="2027" spans="3:3" x14ac:dyDescent="0.3">
      <c r="C2027" t="str">
        <f>constructions!D898</f>
        <v xml:space="preserve">    ForroQuarto2,            !- Name</v>
      </c>
    </row>
    <row r="2028" spans="3:3" x14ac:dyDescent="0.3">
      <c r="C2028" t="str">
        <f>constructions!D899</f>
        <v xml:space="preserve">    Floor,                   !- Surface Type</v>
      </c>
    </row>
    <row r="2029" spans="3:3" x14ac:dyDescent="0.3">
      <c r="C2029" t="str">
        <f>constructions!D900</f>
        <v>Forro PVC,               !- Construction Name</v>
      </c>
    </row>
    <row r="2030" spans="3:3" x14ac:dyDescent="0.3">
      <c r="C2030" t="str">
        <f>constructions!D901</f>
        <v xml:space="preserve">    Telhado3,                !- Zone Name</v>
      </c>
    </row>
    <row r="2031" spans="3:3" x14ac:dyDescent="0.3">
      <c r="C2031" t="str">
        <f>constructions!D902</f>
        <v xml:space="preserve">    Surface,                 !- Outside Boundary Condition</v>
      </c>
    </row>
    <row r="2032" spans="3:3" x14ac:dyDescent="0.3">
      <c r="C2032" t="str">
        <f>constructions!D903</f>
        <v xml:space="preserve">    Surface 26,              !- Outside Boundary Condition Object</v>
      </c>
    </row>
    <row r="2033" spans="3:3" x14ac:dyDescent="0.3">
      <c r="C2033" t="str">
        <f>constructions!D904</f>
        <v xml:space="preserve">    NoSun,                   !- Sun Exposure</v>
      </c>
    </row>
    <row r="2034" spans="3:3" x14ac:dyDescent="0.3">
      <c r="C2034" t="str">
        <f>constructions!D905</f>
        <v xml:space="preserve">    NoWind,                  !- Wind Exposure</v>
      </c>
    </row>
    <row r="2035" spans="3:3" x14ac:dyDescent="0.3">
      <c r="C2035" t="str">
        <f>constructions!D906</f>
        <v xml:space="preserve">    ,                        !- View Factor to Ground</v>
      </c>
    </row>
    <row r="2036" spans="3:3" x14ac:dyDescent="0.3">
      <c r="C2036" t="str">
        <f>constructions!D907</f>
        <v xml:space="preserve">    ,                        !- Number of Vertices</v>
      </c>
    </row>
    <row r="2037" spans="3:3" x14ac:dyDescent="0.3">
      <c r="C2037" t="str">
        <f>constructions!D908</f>
        <v xml:space="preserve">    2.71999999999999,        !- Vertex 1 X-coordinate {m}</v>
      </c>
    </row>
    <row r="2038" spans="3:3" x14ac:dyDescent="0.3">
      <c r="C2038" t="str">
        <f>constructions!D909</f>
        <v xml:space="preserve">    6.24000000000003,        !- Vertex 1 Y-coordinate {m}</v>
      </c>
    </row>
    <row r="2039" spans="3:3" x14ac:dyDescent="0.3">
      <c r="C2039" t="str">
        <f>constructions!D910</f>
        <v xml:space="preserve">    5.41433564649197e-016,   !- Vertex 1 Z-coordinate {m}</v>
      </c>
    </row>
    <row r="2040" spans="3:3" x14ac:dyDescent="0.3">
      <c r="C2040" t="str">
        <f>constructions!D911</f>
        <v xml:space="preserve">    2.71999999999999,        !- Vertex 2 X-coordinate {m}</v>
      </c>
    </row>
    <row r="2041" spans="3:3" x14ac:dyDescent="0.3">
      <c r="C2041" t="str">
        <f>constructions!D912</f>
        <v xml:space="preserve">    2.95328087937421,        !- Vertex 2 Y-coordinate {m}</v>
      </c>
    </row>
    <row r="2042" spans="3:3" x14ac:dyDescent="0.3">
      <c r="C2042" t="str">
        <f>constructions!D913</f>
        <v xml:space="preserve">    1.80477854883066e-016,   !- Vertex 2 Z-coordinate {m}</v>
      </c>
    </row>
    <row r="2043" spans="3:3" x14ac:dyDescent="0.3">
      <c r="C2043" t="str">
        <f>constructions!D914</f>
        <v xml:space="preserve">    2.39501883111713e-032,   !- Vertex 3 X-coordinate {m}</v>
      </c>
    </row>
    <row r="2044" spans="3:3" x14ac:dyDescent="0.3">
      <c r="C2044" t="str">
        <f>constructions!D915</f>
        <v xml:space="preserve">    2.95328087937421,        !- Vertex 3 Y-coordinate {m}</v>
      </c>
    </row>
    <row r="2045" spans="3:3" x14ac:dyDescent="0.3">
      <c r="C2045" t="str">
        <f>constructions!D916</f>
        <v xml:space="preserve">    -1.80477854883065e-016,  !- Vertex 3 Z-coordinate {m}</v>
      </c>
    </row>
    <row r="2046" spans="3:3" x14ac:dyDescent="0.3">
      <c r="C2046" t="str">
        <f>constructions!D917</f>
        <v xml:space="preserve">    -4.33146851719357e-015,  !- Vertex 4 X-coordinate {m}</v>
      </c>
    </row>
    <row r="2047" spans="3:3" x14ac:dyDescent="0.3">
      <c r="C2047" t="str">
        <f>constructions!D918</f>
        <v xml:space="preserve">    6.24000000000003,        !- Vertex 4 Y-coordinate {m}</v>
      </c>
    </row>
    <row r="2048" spans="3:3" x14ac:dyDescent="0.3">
      <c r="C2048" t="str">
        <f>constructions!D919</f>
        <v xml:space="preserve">    1.80477854883065e-016;   !- Vertex 4 Z-coordinate {m}</v>
      </c>
    </row>
    <row r="2049" spans="3:3" x14ac:dyDescent="0.3">
      <c r="C2049" t="str">
        <f>constructions!D920</f>
        <v/>
      </c>
    </row>
    <row r="2050" spans="3:3" x14ac:dyDescent="0.3">
      <c r="C2050" t="str">
        <f>constructions!D921</f>
        <v>BuildingSurface:Detailed,</v>
      </c>
    </row>
    <row r="2051" spans="3:3" x14ac:dyDescent="0.3">
      <c r="C2051" t="str">
        <f>constructions!D922</f>
        <v xml:space="preserve">    ParedeIntTelhado3Telhado2,  !- Name</v>
      </c>
    </row>
    <row r="2052" spans="3:3" x14ac:dyDescent="0.3">
      <c r="C2052" t="str">
        <f>constructions!D923</f>
        <v xml:space="preserve">    Wall,                    !- Surface Type</v>
      </c>
    </row>
    <row r="2053" spans="3:3" x14ac:dyDescent="0.3">
      <c r="C2053" t="str">
        <f>constructions!D924</f>
        <v>Parede  Tijolo cerâmico 9x14x24 c/ argamassa int e ext             ,  !- Construction Name</v>
      </c>
    </row>
    <row r="2054" spans="3:3" x14ac:dyDescent="0.3">
      <c r="C2054" t="str">
        <f>constructions!D925</f>
        <v xml:space="preserve">    Telhado3,                !- Zone Name</v>
      </c>
    </row>
    <row r="2055" spans="3:3" x14ac:dyDescent="0.3">
      <c r="C2055" t="str">
        <f>constructions!D926</f>
        <v xml:space="preserve">    Surface,                 !- Outside Boundary Condition</v>
      </c>
    </row>
    <row r="2056" spans="3:3" x14ac:dyDescent="0.3">
      <c r="C2056" t="str">
        <f>constructions!D927</f>
        <v xml:space="preserve">    ParedeIntTelhado2Telhado3,  !- Outside Boundary Condition Object</v>
      </c>
    </row>
    <row r="2057" spans="3:3" x14ac:dyDescent="0.3">
      <c r="C2057" t="str">
        <f>constructions!D928</f>
        <v xml:space="preserve">    NoSun,                   !- Sun Exposure</v>
      </c>
    </row>
    <row r="2058" spans="3:3" x14ac:dyDescent="0.3">
      <c r="C2058" t="str">
        <f>constructions!D929</f>
        <v xml:space="preserve">    NoWind,                  !- Wind Exposure</v>
      </c>
    </row>
    <row r="2059" spans="3:3" x14ac:dyDescent="0.3">
      <c r="C2059" t="str">
        <f>constructions!D930</f>
        <v xml:space="preserve">    ,                        !- View Factor to Ground</v>
      </c>
    </row>
    <row r="2060" spans="3:3" x14ac:dyDescent="0.3">
      <c r="C2060" t="str">
        <f>constructions!D931</f>
        <v xml:space="preserve">    ,                        !- Number of Vertices</v>
      </c>
    </row>
    <row r="2061" spans="3:3" x14ac:dyDescent="0.3">
      <c r="C2061" t="str">
        <f>constructions!D932</f>
        <v xml:space="preserve">    -4.1509906623105e-015,   !- Vertex 1 X-coordinate {m}</v>
      </c>
    </row>
    <row r="2062" spans="3:3" x14ac:dyDescent="0.3">
      <c r="C2062" t="str">
        <f>constructions!D933</f>
        <v xml:space="preserve">    5.73,                    !- Vertex 1 Y-coordinate {m}</v>
      </c>
    </row>
    <row r="2063" spans="3:3" x14ac:dyDescent="0.3">
      <c r="C2063" t="str">
        <f>constructions!D934</f>
        <v xml:space="preserve">    1.1556904400607,         !- Vertex 1 Z-coordinate {m}</v>
      </c>
    </row>
    <row r="2064" spans="3:3" x14ac:dyDescent="0.3">
      <c r="C2064" t="str">
        <f>constructions!D935</f>
        <v xml:space="preserve">    -3.79003495254438e-015,  !- Vertex 2 X-coordinate {m}</v>
      </c>
    </row>
    <row r="2065" spans="3:3" x14ac:dyDescent="0.3">
      <c r="C2065" t="str">
        <f>constructions!D936</f>
        <v xml:space="preserve">    5.73,                    !- Vertex 2 Y-coordinate {m}</v>
      </c>
    </row>
    <row r="2066" spans="3:3" x14ac:dyDescent="0.3">
      <c r="C2066" t="str">
        <f>constructions!D937</f>
        <v xml:space="preserve">    -5.63684789180769e-032,  !- Vertex 2 Z-coordinate {m}</v>
      </c>
    </row>
    <row r="2067" spans="3:3" x14ac:dyDescent="0.3">
      <c r="C2067" t="str">
        <f>constructions!D938</f>
        <v xml:space="preserve">    -4.15099066231051e-015,  !- Vertex 3 X-coordinate {m}</v>
      </c>
    </row>
    <row r="2068" spans="3:3" x14ac:dyDescent="0.3">
      <c r="C2068" t="str">
        <f>constructions!D939</f>
        <v xml:space="preserve">    3.97051280742744e-015,   !- Vertex 3 Y-coordinate {m}</v>
      </c>
    </row>
    <row r="2069" spans="3:3" x14ac:dyDescent="0.3">
      <c r="C2069" t="str">
        <f>constructions!D940</f>
        <v xml:space="preserve">    5.63684789180765e-032,   !- Vertex 3 Z-coordinate {m}</v>
      </c>
    </row>
    <row r="2070" spans="3:3" x14ac:dyDescent="0.3">
      <c r="C2070" t="str">
        <f>constructions!D941</f>
        <v xml:space="preserve">    -4.51194637207664e-015,  !- Vertex 4 X-coordinate {m}</v>
      </c>
    </row>
    <row r="2071" spans="3:3" x14ac:dyDescent="0.3">
      <c r="C2071" t="str">
        <f>constructions!D942</f>
        <v xml:space="preserve">    3.97051280742744e-015,   !- Vertex 4 Y-coordinate {m}</v>
      </c>
    </row>
    <row r="2072" spans="3:3" x14ac:dyDescent="0.3">
      <c r="C2072" t="str">
        <f>constructions!D943</f>
        <v xml:space="preserve">    1.1556904400607;         !- Vertex 4 Z-coordinate {m}</v>
      </c>
    </row>
    <row r="2073" spans="3:3" x14ac:dyDescent="0.3">
      <c r="C2073" t="str">
        <f>constructions!D944</f>
        <v/>
      </c>
    </row>
    <row r="2074" spans="3:3" x14ac:dyDescent="0.3">
      <c r="C2074" t="str">
        <f>constructions!D945</f>
        <v>BuildingSurface:Detailed,</v>
      </c>
    </row>
    <row r="2075" spans="3:3" x14ac:dyDescent="0.3">
      <c r="C2075" t="str">
        <f>constructions!D946</f>
        <v xml:space="preserve">    ParedeTelhado3Norte,     !- Name</v>
      </c>
    </row>
    <row r="2076" spans="3:3" x14ac:dyDescent="0.3">
      <c r="C2076" t="str">
        <f>constructions!D947</f>
        <v xml:space="preserve">    Wall,                    !- Surface Type</v>
      </c>
    </row>
    <row r="2077" spans="3:3" x14ac:dyDescent="0.3">
      <c r="C2077" t="str">
        <f>constructions!D948</f>
        <v>Parede  Tijolo cerâmico 9x14x24 c/ argamassa int e ext             ,  !- Construction Name</v>
      </c>
    </row>
    <row r="2078" spans="3:3" x14ac:dyDescent="0.3">
      <c r="C2078" t="str">
        <f>constructions!D949</f>
        <v xml:space="preserve">    Telhado3,                !- Zone Name</v>
      </c>
    </row>
    <row r="2079" spans="3:3" x14ac:dyDescent="0.3">
      <c r="C2079" t="str">
        <f>constructions!D950</f>
        <v xml:space="preserve">    Outdoors,                !- Outside Boundary Condition</v>
      </c>
    </row>
    <row r="2080" spans="3:3" x14ac:dyDescent="0.3">
      <c r="C2080" t="str">
        <f>constructions!D951</f>
        <v xml:space="preserve">    ,                        !- Outside Boundary Condition Object</v>
      </c>
    </row>
    <row r="2081" spans="3:3" x14ac:dyDescent="0.3">
      <c r="C2081" t="str">
        <f>constructions!D952</f>
        <v xml:space="preserve">    SunExposed,              !- Sun Exposure</v>
      </c>
    </row>
    <row r="2082" spans="3:3" x14ac:dyDescent="0.3">
      <c r="C2082" t="str">
        <f>constructions!D953</f>
        <v xml:space="preserve">    WindExposed,             !- Wind Exposure</v>
      </c>
    </row>
    <row r="2083" spans="3:3" x14ac:dyDescent="0.3">
      <c r="C2083" t="str">
        <f>constructions!D954</f>
        <v xml:space="preserve">    ,                        !- View Factor to Ground</v>
      </c>
    </row>
    <row r="2084" spans="3:3" x14ac:dyDescent="0.3">
      <c r="C2084" t="str">
        <f>constructions!D955</f>
        <v xml:space="preserve">    ,                        !- Number of Vertices</v>
      </c>
    </row>
    <row r="2085" spans="3:3" x14ac:dyDescent="0.3">
      <c r="C2085" t="str">
        <f>constructions!D956</f>
        <v xml:space="preserve">    -4.33146851719357e-015,  !- Vertex 1 X-coordinate {m}</v>
      </c>
    </row>
    <row r="2086" spans="3:3" x14ac:dyDescent="0.3">
      <c r="C2086" t="str">
        <f>constructions!D957</f>
        <v xml:space="preserve">    6.24000000000003,        !- Vertex 1 Y-coordinate {m}</v>
      </c>
    </row>
    <row r="2087" spans="3:3" x14ac:dyDescent="0.3">
      <c r="C2087" t="str">
        <f>constructions!D958</f>
        <v xml:space="preserve">    1.1556904400607,         !- Vertex 1 Z-coordinate {m}</v>
      </c>
    </row>
    <row r="2088" spans="3:3" x14ac:dyDescent="0.3">
      <c r="C2088" t="str">
        <f>constructions!D959</f>
        <v xml:space="preserve">    2.71999999999999,        !- Vertex 2 X-coordinate {m}</v>
      </c>
    </row>
    <row r="2089" spans="3:3" x14ac:dyDescent="0.3">
      <c r="C2089" t="str">
        <f>constructions!D960</f>
        <v xml:space="preserve">    6.24000000000003,        !- Vertex 2 Y-coordinate {m}</v>
      </c>
    </row>
    <row r="2090" spans="3:3" x14ac:dyDescent="0.3">
      <c r="C2090" t="str">
        <f>constructions!D961</f>
        <v xml:space="preserve">    5.41433564649197e-016,   !- Vertex 2 Z-coordinate {m}</v>
      </c>
    </row>
    <row r="2091" spans="3:3" x14ac:dyDescent="0.3">
      <c r="C2091" t="str">
        <f>constructions!D962</f>
        <v xml:space="preserve">    -4.33146851719357e-015,  !- Vertex 3 X-coordinate {m}</v>
      </c>
    </row>
    <row r="2092" spans="3:3" x14ac:dyDescent="0.3">
      <c r="C2092" t="str">
        <f>constructions!D963</f>
        <v xml:space="preserve">    6.24000000000003,        !- Vertex 3 Y-coordinate {m}</v>
      </c>
    </row>
    <row r="2093" spans="3:3" x14ac:dyDescent="0.3">
      <c r="C2093" t="str">
        <f>constructions!D964</f>
        <v xml:space="preserve">    1.80477854883065e-016;   !- Vertex 3 Z-coordinate {m}</v>
      </c>
    </row>
    <row r="2094" spans="3:3" x14ac:dyDescent="0.3">
      <c r="C2094" t="str">
        <f>constructions!D965</f>
        <v/>
      </c>
    </row>
    <row r="2095" spans="3:3" x14ac:dyDescent="0.3">
      <c r="C2095" t="str">
        <f>constructions!D966</f>
        <v>BuildingSurface:Detailed,</v>
      </c>
    </row>
    <row r="2096" spans="3:3" x14ac:dyDescent="0.3">
      <c r="C2096" t="str">
        <f>constructions!D967</f>
        <v xml:space="preserve">    ParedeTelhado3Oeste,     !- Name</v>
      </c>
    </row>
    <row r="2097" spans="3:3" x14ac:dyDescent="0.3">
      <c r="C2097" t="str">
        <f>constructions!D968</f>
        <v xml:space="preserve">    Wall,                    !- Surface Type</v>
      </c>
    </row>
    <row r="2098" spans="3:3" x14ac:dyDescent="0.3">
      <c r="C2098" t="str">
        <f>constructions!D969</f>
        <v>Parede  Tijolo cerâmico 9x14x24 c/ argamassa int e ext             ,  !- Construction Name</v>
      </c>
    </row>
    <row r="2099" spans="3:3" x14ac:dyDescent="0.3">
      <c r="C2099" t="str">
        <f>constructions!D970</f>
        <v xml:space="preserve">    Telhado3,                !- Zone Name</v>
      </c>
    </row>
    <row r="2100" spans="3:3" x14ac:dyDescent="0.3">
      <c r="C2100" t="str">
        <f>constructions!D971</f>
        <v xml:space="preserve">    Outdoors,                !- Outside Boundary Condition</v>
      </c>
    </row>
    <row r="2101" spans="3:3" x14ac:dyDescent="0.3">
      <c r="C2101" t="str">
        <f>constructions!D972</f>
        <v xml:space="preserve">    ,                        !- Outside Boundary Condition Object</v>
      </c>
    </row>
    <row r="2102" spans="3:3" x14ac:dyDescent="0.3">
      <c r="C2102" t="str">
        <f>constructions!D973</f>
        <v xml:space="preserve">    SunExposed,              !- Sun Exposure</v>
      </c>
    </row>
    <row r="2103" spans="3:3" x14ac:dyDescent="0.3">
      <c r="C2103" t="str">
        <f>constructions!D974</f>
        <v xml:space="preserve">    WindExposed,             !- Wind Exposure</v>
      </c>
    </row>
    <row r="2104" spans="3:3" x14ac:dyDescent="0.3">
      <c r="C2104" t="str">
        <f>constructions!D975</f>
        <v xml:space="preserve">    ,                        !- View Factor to Ground</v>
      </c>
    </row>
    <row r="2105" spans="3:3" x14ac:dyDescent="0.3">
      <c r="C2105" t="str">
        <f>constructions!D976</f>
        <v xml:space="preserve">    ,                        !- Number of Vertices</v>
      </c>
    </row>
    <row r="2106" spans="3:3" x14ac:dyDescent="0.3">
      <c r="C2106" t="str">
        <f>constructions!D977</f>
        <v xml:space="preserve">    -4.33146851719357e-015,  !- Vertex 1 X-coordinate {m}</v>
      </c>
    </row>
    <row r="2107" spans="3:3" x14ac:dyDescent="0.3">
      <c r="C2107" t="str">
        <f>constructions!D978</f>
        <v xml:space="preserve">    6.24000000000003,        !- Vertex 1 Y-coordinate {m}</v>
      </c>
    </row>
    <row r="2108" spans="3:3" x14ac:dyDescent="0.3">
      <c r="C2108" t="str">
        <f>constructions!D979</f>
        <v xml:space="preserve">    1.1556904400607,         !- Vertex 1 Z-coordinate {m}</v>
      </c>
    </row>
    <row r="2109" spans="3:3" x14ac:dyDescent="0.3">
      <c r="C2109" t="str">
        <f>constructions!D980</f>
        <v xml:space="preserve">    -4.33146851719357e-015,  !- Vertex 2 X-coordinate {m}</v>
      </c>
    </row>
    <row r="2110" spans="3:3" x14ac:dyDescent="0.3">
      <c r="C2110" t="str">
        <f>constructions!D981</f>
        <v xml:space="preserve">    6.24000000000003,        !- Vertex 2 Y-coordinate {m}</v>
      </c>
    </row>
    <row r="2111" spans="3:3" x14ac:dyDescent="0.3">
      <c r="C2111" t="str">
        <f>constructions!D982</f>
        <v xml:space="preserve">    1.80477854883065e-016,   !- Vertex 2 Z-coordinate {m}</v>
      </c>
    </row>
    <row r="2112" spans="3:3" x14ac:dyDescent="0.3">
      <c r="C2112" t="str">
        <f>constructions!D983</f>
        <v xml:space="preserve">    -3.79003495254438e-015,  !- Vertex 3 X-coordinate {m}</v>
      </c>
    </row>
    <row r="2113" spans="3:3" x14ac:dyDescent="0.3">
      <c r="C2113" t="str">
        <f>constructions!D984</f>
        <v xml:space="preserve">    5.73,                    !- Vertex 3 Y-coordinate {m}</v>
      </c>
    </row>
    <row r="2114" spans="3:3" x14ac:dyDescent="0.3">
      <c r="C2114" t="str">
        <f>constructions!D985</f>
        <v xml:space="preserve">    -5.63684789180777e-032,  !- Vertex 3 Z-coordinate {m}</v>
      </c>
    </row>
    <row r="2115" spans="3:3" x14ac:dyDescent="0.3">
      <c r="C2115" t="str">
        <f>constructions!D986</f>
        <v xml:space="preserve">    -4.1509906623105e-015,   !- Vertex 4 X-coordinate {m}</v>
      </c>
    </row>
    <row r="2116" spans="3:3" x14ac:dyDescent="0.3">
      <c r="C2116" t="str">
        <f>constructions!D987</f>
        <v xml:space="preserve">    5.73,                    !- Vertex 4 Y-coordinate {m}</v>
      </c>
    </row>
    <row r="2117" spans="3:3" x14ac:dyDescent="0.3">
      <c r="C2117" t="str">
        <f>constructions!D988</f>
        <v xml:space="preserve">    1.1556904400607;         !- Vertex 4 Z-coordinate {m}</v>
      </c>
    </row>
    <row r="2118" spans="3:3" x14ac:dyDescent="0.3">
      <c r="C2118" t="str">
        <f>constructions!D989</f>
        <v/>
      </c>
    </row>
    <row r="2119" spans="3:3" x14ac:dyDescent="0.3">
      <c r="C2119" t="str">
        <f>constructions!D990</f>
        <v>BuildingSurface:Detailed,</v>
      </c>
    </row>
    <row r="2120" spans="3:3" x14ac:dyDescent="0.3">
      <c r="C2120" t="str">
        <f>constructions!D991</f>
        <v xml:space="preserve">    ParedeTelhado3Sul,       !- Name</v>
      </c>
    </row>
    <row r="2121" spans="3:3" x14ac:dyDescent="0.3">
      <c r="C2121" t="str">
        <f>constructions!D992</f>
        <v xml:space="preserve">    Wall,                    !- Surface Type</v>
      </c>
    </row>
    <row r="2122" spans="3:3" x14ac:dyDescent="0.3">
      <c r="C2122" t="str">
        <f>constructions!D993</f>
        <v>Parede  Tijolo cerâmico 9x14x24 c/ argamassa int e ext             ,  !- Construction Name</v>
      </c>
    </row>
    <row r="2123" spans="3:3" x14ac:dyDescent="0.3">
      <c r="C2123" t="str">
        <f>constructions!D994</f>
        <v xml:space="preserve">    Telhado3,                !- Zone Name</v>
      </c>
    </row>
    <row r="2124" spans="3:3" x14ac:dyDescent="0.3">
      <c r="C2124" t="str">
        <f>constructions!D995</f>
        <v xml:space="preserve">    Outdoors,                !- Outside Boundary Condition</v>
      </c>
    </row>
    <row r="2125" spans="3:3" x14ac:dyDescent="0.3">
      <c r="C2125" t="str">
        <f>constructions!D996</f>
        <v xml:space="preserve">    ,                        !- Outside Boundary Condition Object</v>
      </c>
    </row>
    <row r="2126" spans="3:3" x14ac:dyDescent="0.3">
      <c r="C2126" t="str">
        <f>constructions!D997</f>
        <v xml:space="preserve">    SunExposed,              !- Sun Exposure</v>
      </c>
    </row>
    <row r="2127" spans="3:3" x14ac:dyDescent="0.3">
      <c r="C2127" t="str">
        <f>constructions!D998</f>
        <v xml:space="preserve">    WindExposed,             !- Wind Exposure</v>
      </c>
    </row>
    <row r="2128" spans="3:3" x14ac:dyDescent="0.3">
      <c r="C2128" t="str">
        <f>constructions!D999</f>
        <v xml:space="preserve">    ,                        !- View Factor to Ground</v>
      </c>
    </row>
    <row r="2129" spans="3:3" x14ac:dyDescent="0.3">
      <c r="C2129" t="str">
        <f>constructions!D1000</f>
        <v xml:space="preserve">    ,                        !- Number of Vertices</v>
      </c>
    </row>
    <row r="2130" spans="3:3" x14ac:dyDescent="0.3">
      <c r="C2130" t="str">
        <f>constructions!D1001</f>
        <v xml:space="preserve">    -4.51194637207664e-015,  !- Vertex 1 X-coordinate {m}</v>
      </c>
    </row>
    <row r="2131" spans="3:3" x14ac:dyDescent="0.3">
      <c r="C2131" t="str">
        <f>constructions!D1002</f>
        <v xml:space="preserve">    3.97051280742744e-015,   !- Vertex 1 Y-coordinate {m}</v>
      </c>
    </row>
    <row r="2132" spans="3:3" x14ac:dyDescent="0.3">
      <c r="C2132" t="str">
        <f>constructions!D1003</f>
        <v xml:space="preserve">    1.1556904400607,         !- Vertex 1 Z-coordinate {m}</v>
      </c>
    </row>
    <row r="2133" spans="3:3" x14ac:dyDescent="0.3">
      <c r="C2133" t="str">
        <f>constructions!D1004</f>
        <v xml:space="preserve">    -4.15099066231051e-015,  !- Vertex 2 X-coordinate {m}</v>
      </c>
    </row>
    <row r="2134" spans="3:3" x14ac:dyDescent="0.3">
      <c r="C2134" t="str">
        <f>constructions!D1005</f>
        <v xml:space="preserve">    3.97051280742744e-015,   !- Vertex 2 Y-coordinate {m}</v>
      </c>
    </row>
    <row r="2135" spans="3:3" x14ac:dyDescent="0.3">
      <c r="C2135" t="str">
        <f>constructions!D1006</f>
        <v xml:space="preserve">    5.63684789180773e-032,   !- Vertex 2 Z-coordinate {m}</v>
      </c>
    </row>
    <row r="2136" spans="3:3" x14ac:dyDescent="0.3">
      <c r="C2136" t="str">
        <f>constructions!D1007</f>
        <v xml:space="preserve">    2.71999999999999,        !- Vertex 3 X-coordinate {m}</v>
      </c>
    </row>
    <row r="2137" spans="3:3" x14ac:dyDescent="0.3">
      <c r="C2137" t="str">
        <f>constructions!D1008</f>
        <v xml:space="preserve">    3.97051280742744e-015,   !- Vertex 3 Y-coordinate {m}</v>
      </c>
    </row>
    <row r="2138" spans="3:3" x14ac:dyDescent="0.3">
      <c r="C2138" t="str">
        <f>constructions!D1009</f>
        <v xml:space="preserve">    5.55805265195185e-016;   !- Vertex 3 Z-coordinate {m}</v>
      </c>
    </row>
    <row r="2139" spans="3:3" x14ac:dyDescent="0.3">
      <c r="C2139" t="str">
        <f>constructions!D1010</f>
        <v/>
      </c>
    </row>
    <row r="2140" spans="3:3" x14ac:dyDescent="0.3">
      <c r="C2140" t="str">
        <f>constructions!D1011</f>
        <v>BuildingSurface:Detailed,</v>
      </c>
    </row>
    <row r="2141" spans="3:3" x14ac:dyDescent="0.3">
      <c r="C2141" t="str">
        <f>constructions!D1012</f>
        <v xml:space="preserve">    Telha3,                  !- Name</v>
      </c>
    </row>
    <row r="2142" spans="3:3" x14ac:dyDescent="0.3">
      <c r="C2142" t="str">
        <f>constructions!D1013</f>
        <v xml:space="preserve">    Roof,                    !- Surface Type</v>
      </c>
    </row>
    <row r="2143" spans="3:3" x14ac:dyDescent="0.3">
      <c r="C2143" t="str">
        <f>constructions!D1014</f>
        <v>Telha ceramica,!- Construction Name</v>
      </c>
    </row>
    <row r="2144" spans="3:3" x14ac:dyDescent="0.3">
      <c r="C2144" t="str">
        <f>constructions!D1015</f>
        <v xml:space="preserve">    Telhado3,                !- Zone Name</v>
      </c>
    </row>
    <row r="2145" spans="3:3" x14ac:dyDescent="0.3">
      <c r="C2145" t="str">
        <f>constructions!D1016</f>
        <v xml:space="preserve">    Outdoors,                !- Outside Boundary Condition</v>
      </c>
    </row>
    <row r="2146" spans="3:3" x14ac:dyDescent="0.3">
      <c r="C2146" t="str">
        <f>constructions!D1017</f>
        <v xml:space="preserve">    ,                        !- Outside Boundary Condition Object</v>
      </c>
    </row>
    <row r="2147" spans="3:3" x14ac:dyDescent="0.3">
      <c r="C2147" t="str">
        <f>constructions!D1018</f>
        <v xml:space="preserve">    SunExposed,              !- Sun Exposure</v>
      </c>
    </row>
    <row r="2148" spans="3:3" x14ac:dyDescent="0.3">
      <c r="C2148" t="str">
        <f>constructions!D1019</f>
        <v xml:space="preserve">    WindExposed,             !- Wind Exposure</v>
      </c>
    </row>
    <row r="2149" spans="3:3" x14ac:dyDescent="0.3">
      <c r="C2149" t="str">
        <f>constructions!D1020</f>
        <v xml:space="preserve">    ,                        !- View Factor to Ground</v>
      </c>
    </row>
    <row r="2150" spans="3:3" x14ac:dyDescent="0.3">
      <c r="C2150" t="str">
        <f>constructions!D1021</f>
        <v xml:space="preserve">    ,                        !- Number of Vertices</v>
      </c>
    </row>
    <row r="2151" spans="3:3" x14ac:dyDescent="0.3">
      <c r="C2151" t="str">
        <f>constructions!D1022</f>
        <v xml:space="preserve">    -4.51194637207664e-015,  !- Vertex 1 X-coordinate {m}</v>
      </c>
    </row>
    <row r="2152" spans="3:3" x14ac:dyDescent="0.3">
      <c r="C2152" t="str">
        <f>constructions!D1023</f>
        <v xml:space="preserve">    3.97051280742744e-015,   !- Vertex 1 Y-coordinate {m}</v>
      </c>
    </row>
    <row r="2153" spans="3:3" x14ac:dyDescent="0.3">
      <c r="C2153" t="str">
        <f>constructions!D1024</f>
        <v xml:space="preserve">    1.1556904400607,         !- Vertex 1 Z-coordinate {m}</v>
      </c>
    </row>
    <row r="2154" spans="3:3" x14ac:dyDescent="0.3">
      <c r="C2154" t="str">
        <f>constructions!D1025</f>
        <v xml:space="preserve">    2.71999999999999,        !- Vertex 2 X-coordinate {m}</v>
      </c>
    </row>
    <row r="2155" spans="3:3" x14ac:dyDescent="0.3">
      <c r="C2155" t="str">
        <f>constructions!D1026</f>
        <v xml:space="preserve">    3.97051280742744e-015,   !- Vertex 2 Y-coordinate {m}</v>
      </c>
    </row>
    <row r="2156" spans="3:3" x14ac:dyDescent="0.3">
      <c r="C2156" t="str">
        <f>constructions!D1027</f>
        <v xml:space="preserve">    5.55805265195185e-016,   !- Vertex 2 Z-coordinate {m}</v>
      </c>
    </row>
    <row r="2157" spans="3:3" x14ac:dyDescent="0.3">
      <c r="C2157" t="str">
        <f>constructions!D1028</f>
        <v xml:space="preserve">    2.71999999999999,        !- Vertex 3 X-coordinate {m}</v>
      </c>
    </row>
    <row r="2158" spans="3:3" x14ac:dyDescent="0.3">
      <c r="C2158" t="str">
        <f>constructions!D1029</f>
        <v xml:space="preserve">    6.24000000000003,        !- Vertex 3 Y-coordinate {m}</v>
      </c>
    </row>
    <row r="2159" spans="3:3" x14ac:dyDescent="0.3">
      <c r="C2159" t="str">
        <f>constructions!D1030</f>
        <v xml:space="preserve">    5.41433564649197e-016,   !- Vertex 3 Z-coordinate {m}</v>
      </c>
    </row>
    <row r="2160" spans="3:3" x14ac:dyDescent="0.3">
      <c r="C2160" t="str">
        <f>constructions!D1031</f>
        <v xml:space="preserve">    -4.33146851719357e-015,  !- Vertex 4 X-coordinate {m}</v>
      </c>
    </row>
    <row r="2161" spans="3:3" x14ac:dyDescent="0.3">
      <c r="C2161" t="str">
        <f>constructions!D1032</f>
        <v xml:space="preserve">    6.24000000000003,        !- Vertex 4 Y-coordinate {m}</v>
      </c>
    </row>
    <row r="2162" spans="3:3" x14ac:dyDescent="0.3">
      <c r="C2162" t="str">
        <f>constructions!D1033</f>
        <v xml:space="preserve">    1.1556904400607;         !- Vertex 4 Z-coordinate {m}</v>
      </c>
    </row>
    <row r="2163" spans="3:3" x14ac:dyDescent="0.3">
      <c r="C2163" t="str">
        <f>constructions!D1034</f>
        <v/>
      </c>
    </row>
    <row r="2164" spans="3:3" x14ac:dyDescent="0.3">
      <c r="C2164" t="str">
        <f>constructions!D1035</f>
        <v>BuildingSurface:Detailed,</v>
      </c>
    </row>
    <row r="2165" spans="3:3" x14ac:dyDescent="0.3">
      <c r="C2165" t="str">
        <f>constructions!D1036</f>
        <v xml:space="preserve">    Forro2,                  !- Name</v>
      </c>
    </row>
    <row r="2166" spans="3:3" x14ac:dyDescent="0.3">
      <c r="C2166" t="str">
        <f>constructions!D1037</f>
        <v xml:space="preserve">    Floor,                   !- Surface Type</v>
      </c>
    </row>
    <row r="2167" spans="3:3" x14ac:dyDescent="0.3">
      <c r="C2167" t="str">
        <f>constructions!D1038</f>
        <v>Forro PVC,               !- Construction Name</v>
      </c>
    </row>
    <row r="2168" spans="3:3" x14ac:dyDescent="0.3">
      <c r="C2168" t="str">
        <f>constructions!D1039</f>
        <v xml:space="preserve">    Telhado2,                !- Zone Name</v>
      </c>
    </row>
    <row r="2169" spans="3:3" x14ac:dyDescent="0.3">
      <c r="C2169" t="str">
        <f>constructions!D1040</f>
        <v xml:space="preserve">    Surface,                 !- Outside Boundary Condition</v>
      </c>
    </row>
    <row r="2170" spans="3:3" x14ac:dyDescent="0.3">
      <c r="C2170" t="str">
        <f>constructions!D1041</f>
        <v xml:space="preserve">    Surface 8,               !- Outside Boundary Condition Object</v>
      </c>
    </row>
    <row r="2171" spans="3:3" x14ac:dyDescent="0.3">
      <c r="C2171" t="str">
        <f>constructions!D1042</f>
        <v xml:space="preserve">    NoSun,                   !- Sun Exposure</v>
      </c>
    </row>
    <row r="2172" spans="3:3" x14ac:dyDescent="0.3">
      <c r="C2172" t="str">
        <f>constructions!D1043</f>
        <v xml:space="preserve">    NoWind,                  !- Wind Exposure</v>
      </c>
    </row>
    <row r="2173" spans="3:3" x14ac:dyDescent="0.3">
      <c r="C2173" t="str">
        <f>constructions!D1044</f>
        <v xml:space="preserve">    ,                        !- View Factor to Ground</v>
      </c>
    </row>
    <row r="2174" spans="3:3" x14ac:dyDescent="0.3">
      <c r="C2174" t="str">
        <f>constructions!D1045</f>
        <v xml:space="preserve">    ,                        !- Number of Vertices</v>
      </c>
    </row>
    <row r="2175" spans="3:3" x14ac:dyDescent="0.3">
      <c r="C2175" t="str">
        <f>constructions!D1046</f>
        <v xml:space="preserve">    0.574999999999996,       !- Vertex 1 X-coordinate {m}</v>
      </c>
    </row>
    <row r="2176" spans="3:3" x14ac:dyDescent="0.3">
      <c r="C2176" t="str">
        <f>constructions!D1047</f>
        <v xml:space="preserve">    6.73,                    !- Vertex 1 Y-coordinate {m}</v>
      </c>
    </row>
    <row r="2177" spans="3:3" x14ac:dyDescent="0.3">
      <c r="C2177" t="str">
        <f>constructions!D1048</f>
        <v xml:space="preserve">    3.60955709766131e-016,   !- Vertex 1 Z-coordinate {m}</v>
      </c>
    </row>
    <row r="2178" spans="3:3" x14ac:dyDescent="0.3">
      <c r="C2178" t="str">
        <f>constructions!D1049</f>
        <v xml:space="preserve">    0.574999999999996,       !- Vertex 2 X-coordinate {m}</v>
      </c>
    </row>
    <row r="2179" spans="3:3" x14ac:dyDescent="0.3">
      <c r="C2179" t="str">
        <f>constructions!D1050</f>
        <v xml:space="preserve">    5.6399329650958e-017,    !- Vertex 2 Y-coordinate {m}</v>
      </c>
    </row>
    <row r="2180" spans="3:3" x14ac:dyDescent="0.3">
      <c r="C2180" t="str">
        <f>constructions!D1051</f>
        <v xml:space="preserve">    -1.20222401955682e-031,  !- Vertex 2 Z-coordinate {m}</v>
      </c>
    </row>
    <row r="2181" spans="3:3" x14ac:dyDescent="0.3">
      <c r="C2181" t="str">
        <f>constructions!D1052</f>
        <v xml:space="preserve">    -5.05337993672583e-015,  !- Vertex 3 X-coordinate {m}</v>
      </c>
    </row>
    <row r="2182" spans="3:3" x14ac:dyDescent="0.3">
      <c r="C2182" t="str">
        <f>constructions!D1053</f>
        <v xml:space="preserve">    -4.51194637207664e-017,  !- Vertex 3 Y-coordinate {m}</v>
      </c>
    </row>
    <row r="2183" spans="3:3" x14ac:dyDescent="0.3">
      <c r="C2183" t="str">
        <f>constructions!D1054</f>
        <v xml:space="preserve">    3.60955709766131e-016,   !- Vertex 3 Z-coordinate {m}</v>
      </c>
    </row>
    <row r="2184" spans="3:3" x14ac:dyDescent="0.3">
      <c r="C2184" t="str">
        <f>constructions!D1055</f>
        <v xml:space="preserve">    -4.33146851719357e-015,  !- Vertex 4 X-coordinate {m}</v>
      </c>
    </row>
    <row r="2185" spans="3:3" x14ac:dyDescent="0.3">
      <c r="C2185" t="str">
        <f>constructions!D1056</f>
        <v xml:space="preserve">    6.73,                    !- Vertex 4 Y-coordinate {m}</v>
      </c>
    </row>
    <row r="2186" spans="3:3" x14ac:dyDescent="0.3">
      <c r="C2186" t="str">
        <f>constructions!D1057</f>
        <v xml:space="preserve">    7.21911419532262e-016;   !- Vertex 4 Z-coordinate {m}</v>
      </c>
    </row>
    <row r="2187" spans="3:3" x14ac:dyDescent="0.3">
      <c r="C2187" t="str">
        <f>constructions!D1058</f>
        <v/>
      </c>
    </row>
    <row r="2188" spans="3:3" x14ac:dyDescent="0.3">
      <c r="C2188" t="str">
        <f>constructions!D1059</f>
        <v>BuildingSurface:Detailed,</v>
      </c>
    </row>
    <row r="2189" spans="3:3" x14ac:dyDescent="0.3">
      <c r="C2189" t="str">
        <f>constructions!D1060</f>
        <v xml:space="preserve">    ParedeIntTelhado2Telhado1,  !- Name</v>
      </c>
    </row>
    <row r="2190" spans="3:3" x14ac:dyDescent="0.3">
      <c r="C2190" t="str">
        <f>constructions!D1061</f>
        <v xml:space="preserve">    Wall,                    !- Surface Type</v>
      </c>
    </row>
    <row r="2191" spans="3:3" x14ac:dyDescent="0.3">
      <c r="C2191" t="str">
        <f>constructions!D1062</f>
        <v>Parede  Tijolo cerâmico 9x14x24 c/ argamassa int e ext             ,  !- Construction Name</v>
      </c>
    </row>
    <row r="2192" spans="3:3" x14ac:dyDescent="0.3">
      <c r="C2192" t="str">
        <f>constructions!D1063</f>
        <v xml:space="preserve">    Telhado2,                !- Zone Name</v>
      </c>
    </row>
    <row r="2193" spans="3:3" x14ac:dyDescent="0.3">
      <c r="C2193" t="str">
        <f>constructions!D1064</f>
        <v xml:space="preserve">    Surface,                 !- Outside Boundary Condition</v>
      </c>
    </row>
    <row r="2194" spans="3:3" x14ac:dyDescent="0.3">
      <c r="C2194" t="str">
        <f>constructions!D1065</f>
        <v xml:space="preserve">    ParedeIntTelhado1Telhado2,  !- Outside Boundary Condition Object</v>
      </c>
    </row>
    <row r="2195" spans="3:3" x14ac:dyDescent="0.3">
      <c r="C2195" t="str">
        <f>constructions!D1066</f>
        <v xml:space="preserve">    NoSun,                   !- Sun Exposure</v>
      </c>
    </row>
    <row r="2196" spans="3:3" x14ac:dyDescent="0.3">
      <c r="C2196" t="str">
        <f>constructions!D1067</f>
        <v xml:space="preserve">    NoWind,                  !- Wind Exposure</v>
      </c>
    </row>
    <row r="2197" spans="3:3" x14ac:dyDescent="0.3">
      <c r="C2197" t="str">
        <f>constructions!D1068</f>
        <v xml:space="preserve">    ,                        !- View Factor to Ground</v>
      </c>
    </row>
    <row r="2198" spans="3:3" x14ac:dyDescent="0.3">
      <c r="C2198" t="str">
        <f>constructions!D1069</f>
        <v xml:space="preserve">    ,                        !- Number of Vertices</v>
      </c>
    </row>
    <row r="2199" spans="3:3" x14ac:dyDescent="0.3">
      <c r="C2199" t="str">
        <f>constructions!D1070</f>
        <v xml:space="preserve">    -4.33146851719357e-015,  !- Vertex 1 X-coordinate {m}</v>
      </c>
    </row>
    <row r="2200" spans="3:3" x14ac:dyDescent="0.3">
      <c r="C2200" t="str">
        <f>constructions!D1071</f>
        <v xml:space="preserve">    6.73,                    !- Vertex 1 Y-coordinate {m}</v>
      </c>
    </row>
    <row r="2201" spans="3:3" x14ac:dyDescent="0.3">
      <c r="C2201" t="str">
        <f>constructions!D1072</f>
        <v xml:space="preserve">    1.4,                     !- Vertex 1 Z-coordinate {m}</v>
      </c>
    </row>
    <row r="2202" spans="3:3" x14ac:dyDescent="0.3">
      <c r="C2202" t="str">
        <f>constructions!D1073</f>
        <v xml:space="preserve">    -4.33146851719357e-015,  !- Vertex 2 X-coordinate {m}</v>
      </c>
    </row>
    <row r="2203" spans="3:3" x14ac:dyDescent="0.3">
      <c r="C2203" t="str">
        <f>constructions!D1074</f>
        <v xml:space="preserve">    6.73,                    !- Vertex 2 Y-coordinate {m}</v>
      </c>
    </row>
    <row r="2204" spans="3:3" x14ac:dyDescent="0.3">
      <c r="C2204" t="str">
        <f>constructions!D1075</f>
        <v xml:space="preserve">    7.21911419532262e-016,   !- Vertex 2 Z-coordinate {m}</v>
      </c>
    </row>
    <row r="2205" spans="3:3" x14ac:dyDescent="0.3">
      <c r="C2205" t="str">
        <f>constructions!D1076</f>
        <v xml:space="preserve">    -5.05337993672583e-015,  !- Vertex 3 X-coordinate {m}</v>
      </c>
    </row>
    <row r="2206" spans="3:3" x14ac:dyDescent="0.3">
      <c r="C2206" t="str">
        <f>constructions!D1077</f>
        <v xml:space="preserve">    -4.51194637207664e-017,  !- Vertex 3 Y-coordinate {m}</v>
      </c>
    </row>
    <row r="2207" spans="3:3" x14ac:dyDescent="0.3">
      <c r="C2207" t="str">
        <f>constructions!D1078</f>
        <v xml:space="preserve">    3.60955709766131e-016,   !- Vertex 3 Z-coordinate {m}</v>
      </c>
    </row>
    <row r="2208" spans="3:3" x14ac:dyDescent="0.3">
      <c r="C2208" t="str">
        <f>constructions!D1079</f>
        <v xml:space="preserve">    -5.05337993672583e-015,  !- Vertex 4 X-coordinate {m}</v>
      </c>
    </row>
    <row r="2209" spans="3:3" x14ac:dyDescent="0.3">
      <c r="C2209" t="str">
        <f>constructions!D1080</f>
        <v xml:space="preserve">    4.51194637207664e-017,   !- Vertex 4 Y-coordinate {m}</v>
      </c>
    </row>
    <row r="2210" spans="3:3" x14ac:dyDescent="0.3">
      <c r="C2210" t="str">
        <f>constructions!D1081</f>
        <v xml:space="preserve">    1.4;                     !- Vertex 4 Z-coordinate {m}</v>
      </c>
    </row>
    <row r="2211" spans="3:3" x14ac:dyDescent="0.3">
      <c r="C2211" t="str">
        <f>constructions!D1082</f>
        <v/>
      </c>
    </row>
    <row r="2212" spans="3:3" x14ac:dyDescent="0.3">
      <c r="C2212" t="str">
        <f>constructions!D1083</f>
        <v>BuildingSurface:Detailed,</v>
      </c>
    </row>
    <row r="2213" spans="3:3" x14ac:dyDescent="0.3">
      <c r="C2213" t="str">
        <f>constructions!D1084</f>
        <v xml:space="preserve">    ParedeIntTelhado2Telhado3,  !- Name</v>
      </c>
    </row>
    <row r="2214" spans="3:3" x14ac:dyDescent="0.3">
      <c r="C2214" t="str">
        <f>constructions!D1085</f>
        <v xml:space="preserve">    Wall,                    !- Surface Type</v>
      </c>
    </row>
    <row r="2215" spans="3:3" x14ac:dyDescent="0.3">
      <c r="C2215" t="str">
        <f>constructions!D1086</f>
        <v>Parede  Tijolo cerâmico 9x14x24 c/ argamassa int e ext             ,  !- Construction Name</v>
      </c>
    </row>
    <row r="2216" spans="3:3" x14ac:dyDescent="0.3">
      <c r="C2216" t="str">
        <f>constructions!D1087</f>
        <v xml:space="preserve">    Telhado2,                !- Zone Name</v>
      </c>
    </row>
    <row r="2217" spans="3:3" x14ac:dyDescent="0.3">
      <c r="C2217" t="str">
        <f>constructions!D1088</f>
        <v xml:space="preserve">    Surface,                 !- Outside Boundary Condition</v>
      </c>
    </row>
    <row r="2218" spans="3:3" x14ac:dyDescent="0.3">
      <c r="C2218" t="str">
        <f>constructions!D1089</f>
        <v xml:space="preserve">    ParedeIntTelhado3Telhado2,  !- Outside Boundary Condition Object</v>
      </c>
    </row>
    <row r="2219" spans="3:3" x14ac:dyDescent="0.3">
      <c r="C2219" t="str">
        <f>constructions!D1090</f>
        <v xml:space="preserve">    NoSun,                   !- Sun Exposure</v>
      </c>
    </row>
    <row r="2220" spans="3:3" x14ac:dyDescent="0.3">
      <c r="C2220" t="str">
        <f>constructions!D1091</f>
        <v xml:space="preserve">    NoWind,                  !- Wind Exposure</v>
      </c>
    </row>
    <row r="2221" spans="3:3" x14ac:dyDescent="0.3">
      <c r="C2221" t="str">
        <f>constructions!D1092</f>
        <v xml:space="preserve">    ,                        !- View Factor to Ground</v>
      </c>
    </row>
    <row r="2222" spans="3:3" x14ac:dyDescent="0.3">
      <c r="C2222" t="str">
        <f>constructions!D1093</f>
        <v xml:space="preserve">    ,                        !- Number of Vertices</v>
      </c>
    </row>
    <row r="2223" spans="3:3" x14ac:dyDescent="0.3">
      <c r="C2223" t="str">
        <f>constructions!D1094</f>
        <v xml:space="preserve">    0.574999999999996,       !- Vertex 1 X-coordinate {m}</v>
      </c>
    </row>
    <row r="2224" spans="3:3" x14ac:dyDescent="0.3">
      <c r="C2224" t="str">
        <f>constructions!D1095</f>
        <v xml:space="preserve">    0.999999999999998,       !- Vertex 1 Y-coordinate {m}</v>
      </c>
    </row>
    <row r="2225" spans="3:3" x14ac:dyDescent="0.3">
      <c r="C2225" t="str">
        <f>constructions!D1096</f>
        <v xml:space="preserve">    1.1556904400607,         !- Vertex 1 Z-coordinate {m}</v>
      </c>
    </row>
    <row r="2226" spans="3:3" x14ac:dyDescent="0.3">
      <c r="C2226" t="str">
        <f>constructions!D1097</f>
        <v xml:space="preserve">    0.574999999999996,       !- Vertex 2 X-coordinate {m}</v>
      </c>
    </row>
    <row r="2227" spans="3:3" x14ac:dyDescent="0.3">
      <c r="C2227" t="str">
        <f>constructions!D1098</f>
        <v xml:space="preserve">    0.999999999999998,       !- Vertex 2 Y-coordinate {m}</v>
      </c>
    </row>
    <row r="2228" spans="3:3" x14ac:dyDescent="0.3">
      <c r="C2228" t="str">
        <f>constructions!D1099</f>
        <v xml:space="preserve">    0,                       !- Vertex 2 Z-coordinate {m}</v>
      </c>
    </row>
    <row r="2229" spans="3:3" x14ac:dyDescent="0.3">
      <c r="C2229" t="str">
        <f>constructions!D1100</f>
        <v xml:space="preserve">    0.574999999999996,       !- Vertex 3 X-coordinate {m}</v>
      </c>
    </row>
    <row r="2230" spans="3:3" x14ac:dyDescent="0.3">
      <c r="C2230" t="str">
        <f>constructions!D1101</f>
        <v xml:space="preserve">    6.73,                    !- Vertex 3 Y-coordinate {m}</v>
      </c>
    </row>
    <row r="2231" spans="3:3" x14ac:dyDescent="0.3">
      <c r="C2231" t="str">
        <f>constructions!D1102</f>
        <v xml:space="preserve">    3.60955709766131e-016,   !- Vertex 3 Z-coordinate {m}</v>
      </c>
    </row>
    <row r="2232" spans="3:3" x14ac:dyDescent="0.3">
      <c r="C2232" t="str">
        <f>constructions!D1103</f>
        <v xml:space="preserve">    0.574999999999996,       !- Vertex 4 X-coordinate {m}</v>
      </c>
    </row>
    <row r="2233" spans="3:3" x14ac:dyDescent="0.3">
      <c r="C2233" t="str">
        <f>constructions!D1104</f>
        <v xml:space="preserve">    6.73,                    !- Vertex 4 Y-coordinate {m}</v>
      </c>
    </row>
    <row r="2234" spans="3:3" x14ac:dyDescent="0.3">
      <c r="C2234" t="str">
        <f>constructions!D1105</f>
        <v xml:space="preserve">    1.1556904400607;         !- Vertex 4 Z-coordinate {m}</v>
      </c>
    </row>
    <row r="2235" spans="3:3" x14ac:dyDescent="0.3">
      <c r="C2235" t="str">
        <f>constructions!D1106</f>
        <v/>
      </c>
    </row>
    <row r="2236" spans="3:3" x14ac:dyDescent="0.3">
      <c r="C2236" t="str">
        <f>constructions!D1107</f>
        <v>BuildingSurface:Detailed,</v>
      </c>
    </row>
    <row r="2237" spans="3:3" x14ac:dyDescent="0.3">
      <c r="C2237" t="str">
        <f>constructions!D1108</f>
        <v xml:space="preserve">    ParedeTelhado2Leste,     !- Name</v>
      </c>
    </row>
    <row r="2238" spans="3:3" x14ac:dyDescent="0.3">
      <c r="C2238" t="str">
        <f>constructions!D1109</f>
        <v xml:space="preserve">    Wall,                    !- Surface Type</v>
      </c>
    </row>
    <row r="2239" spans="3:3" x14ac:dyDescent="0.3">
      <c r="C2239" t="str">
        <f>constructions!D1110</f>
        <v>Parede  Tijolo cerâmico 9x14x24 c/ argamassa int e ext             ,  !- Construction Name</v>
      </c>
    </row>
    <row r="2240" spans="3:3" x14ac:dyDescent="0.3">
      <c r="C2240" t="str">
        <f>constructions!D1111</f>
        <v xml:space="preserve">    Telhado2,                !- Zone Name</v>
      </c>
    </row>
    <row r="2241" spans="3:3" x14ac:dyDescent="0.3">
      <c r="C2241" t="str">
        <f>constructions!D1112</f>
        <v xml:space="preserve">    Outdoors,                !- Outside Boundary Condition</v>
      </c>
    </row>
    <row r="2242" spans="3:3" x14ac:dyDescent="0.3">
      <c r="C2242" t="str">
        <f>constructions!D1113</f>
        <v xml:space="preserve">    ,                        !- Outside Boundary Condition Object</v>
      </c>
    </row>
    <row r="2243" spans="3:3" x14ac:dyDescent="0.3">
      <c r="C2243" t="str">
        <f>constructions!D1114</f>
        <v xml:space="preserve">    SunExposed,              !- Sun Exposure</v>
      </c>
    </row>
    <row r="2244" spans="3:3" x14ac:dyDescent="0.3">
      <c r="C2244" t="str">
        <f>constructions!D1115</f>
        <v xml:space="preserve">    WindExposed,             !- Wind Exposure</v>
      </c>
    </row>
    <row r="2245" spans="3:3" x14ac:dyDescent="0.3">
      <c r="C2245" t="str">
        <f>constructions!D1116</f>
        <v xml:space="preserve">    ,                        !- View Factor to Ground</v>
      </c>
    </row>
    <row r="2246" spans="3:3" x14ac:dyDescent="0.3">
      <c r="C2246" t="str">
        <f>constructions!D1117</f>
        <v xml:space="preserve">    ,                        !- Number of Vertices</v>
      </c>
    </row>
    <row r="2247" spans="3:3" x14ac:dyDescent="0.3">
      <c r="C2247" t="str">
        <f>constructions!D1118</f>
        <v xml:space="preserve">    0.574999999999996,       !- Vertex 1 X-coordinate {m}</v>
      </c>
    </row>
    <row r="2248" spans="3:3" x14ac:dyDescent="0.3">
      <c r="C2248" t="str">
        <f>constructions!D1119</f>
        <v xml:space="preserve">    1.24078525232107e-016,   !- Vertex 1 Y-coordinate {m}</v>
      </c>
    </row>
    <row r="2249" spans="3:3" x14ac:dyDescent="0.3">
      <c r="C2249" t="str">
        <f>constructions!D1120</f>
        <v xml:space="preserve">    1.1556904400607,         !- Vertex 1 Z-coordinate {m}</v>
      </c>
    </row>
    <row r="2250" spans="3:3" x14ac:dyDescent="0.3">
      <c r="C2250" t="str">
        <f>constructions!D1121</f>
        <v xml:space="preserve">    0.574999999999996,       !- Vertex 2 X-coordinate {m}</v>
      </c>
    </row>
    <row r="2251" spans="3:3" x14ac:dyDescent="0.3">
      <c r="C2251" t="str">
        <f>constructions!D1122</f>
        <v xml:space="preserve">    5.6399329650958e-017,    !- Vertex 2 Y-coordinate {m}</v>
      </c>
    </row>
    <row r="2252" spans="3:3" x14ac:dyDescent="0.3">
      <c r="C2252" t="str">
        <f>constructions!D1123</f>
        <v xml:space="preserve">    0,                       !- Vertex 2 Z-coordinate {m}</v>
      </c>
    </row>
    <row r="2253" spans="3:3" x14ac:dyDescent="0.3">
      <c r="C2253" t="str">
        <f>constructions!D1124</f>
        <v xml:space="preserve">    0.574999999999996,       !- Vertex 3 X-coordinate {m}</v>
      </c>
    </row>
    <row r="2254" spans="3:3" x14ac:dyDescent="0.3">
      <c r="C2254" t="str">
        <f>constructions!D1125</f>
        <v xml:space="preserve">    0.999999999999998,       !- Vertex 3 Y-coordinate {m}</v>
      </c>
    </row>
    <row r="2255" spans="3:3" x14ac:dyDescent="0.3">
      <c r="C2255" t="str">
        <f>constructions!D1126</f>
        <v xml:space="preserve">    0,                       !- Vertex 3 Z-coordinate {m}</v>
      </c>
    </row>
    <row r="2256" spans="3:3" x14ac:dyDescent="0.3">
      <c r="C2256" t="str">
        <f>constructions!D1127</f>
        <v xml:space="preserve">    0.574999999999996,       !- Vertex 4 X-coordinate {m}</v>
      </c>
    </row>
    <row r="2257" spans="3:3" x14ac:dyDescent="0.3">
      <c r="C2257" t="str">
        <f>constructions!D1128</f>
        <v xml:space="preserve">    0.999999999999998,       !- Vertex 4 Y-coordinate {m}</v>
      </c>
    </row>
    <row r="2258" spans="3:3" x14ac:dyDescent="0.3">
      <c r="C2258" t="str">
        <f>constructions!D1129</f>
        <v xml:space="preserve">    1.1556904400607;         !- Vertex 4 Z-coordinate {m}</v>
      </c>
    </row>
    <row r="2259" spans="3:3" x14ac:dyDescent="0.3">
      <c r="C2259" t="str">
        <f>constructions!D1130</f>
        <v/>
      </c>
    </row>
    <row r="2260" spans="3:3" x14ac:dyDescent="0.3">
      <c r="C2260" t="str">
        <f>constructions!D1131</f>
        <v>BuildingSurface:Detailed,</v>
      </c>
    </row>
    <row r="2261" spans="3:3" x14ac:dyDescent="0.3">
      <c r="C2261" t="str">
        <f>constructions!D1132</f>
        <v xml:space="preserve">    ParedeTelhado2Norte,     !- Name</v>
      </c>
    </row>
    <row r="2262" spans="3:3" x14ac:dyDescent="0.3">
      <c r="C2262" t="str">
        <f>constructions!D1133</f>
        <v xml:space="preserve">    Wall,                    !- Surface Type</v>
      </c>
    </row>
    <row r="2263" spans="3:3" x14ac:dyDescent="0.3">
      <c r="C2263" t="str">
        <f>constructions!D1134</f>
        <v>Parede  Tijolo cerâmico 9x14x24 c/ argamassa int e ext             ,  !- Construction Name</v>
      </c>
    </row>
    <row r="2264" spans="3:3" x14ac:dyDescent="0.3">
      <c r="C2264" t="str">
        <f>constructions!D1135</f>
        <v xml:space="preserve">    Telhado2,                !- Zone Name</v>
      </c>
    </row>
    <row r="2265" spans="3:3" x14ac:dyDescent="0.3">
      <c r="C2265" t="str">
        <f>constructions!D1136</f>
        <v xml:space="preserve">    Outdoors,                !- Outside Boundary Condition</v>
      </c>
    </row>
    <row r="2266" spans="3:3" x14ac:dyDescent="0.3">
      <c r="C2266" t="str">
        <f>constructions!D1137</f>
        <v xml:space="preserve">    ,                        !- Outside Boundary Condition Object</v>
      </c>
    </row>
    <row r="2267" spans="3:3" x14ac:dyDescent="0.3">
      <c r="C2267" t="str">
        <f>constructions!D1138</f>
        <v xml:space="preserve">    SunExposed,              !- Sun Exposure</v>
      </c>
    </row>
    <row r="2268" spans="3:3" x14ac:dyDescent="0.3">
      <c r="C2268" t="str">
        <f>constructions!D1139</f>
        <v xml:space="preserve">    WindExposed,             !- Wind Exposure</v>
      </c>
    </row>
    <row r="2269" spans="3:3" x14ac:dyDescent="0.3">
      <c r="C2269" t="str">
        <f>constructions!D1140</f>
        <v xml:space="preserve">    ,                        !- View Factor to Ground</v>
      </c>
    </row>
    <row r="2270" spans="3:3" x14ac:dyDescent="0.3">
      <c r="C2270" t="str">
        <f>constructions!D1141</f>
        <v xml:space="preserve">    ,                        !- Number of Vertices</v>
      </c>
    </row>
    <row r="2271" spans="3:3" x14ac:dyDescent="0.3">
      <c r="C2271" t="str">
        <f>constructions!D1142</f>
        <v xml:space="preserve">    -4.33146851719357e-015,  !- Vertex 1 X-coordinate {m}</v>
      </c>
    </row>
    <row r="2272" spans="3:3" x14ac:dyDescent="0.3">
      <c r="C2272" t="str">
        <f>constructions!D1143</f>
        <v xml:space="preserve">    6.73,                    !- Vertex 1 Y-coordinate {m}</v>
      </c>
    </row>
    <row r="2273" spans="3:3" x14ac:dyDescent="0.3">
      <c r="C2273" t="str">
        <f>constructions!D1144</f>
        <v xml:space="preserve">    1.4,                     !- Vertex 1 Z-coordinate {m}</v>
      </c>
    </row>
    <row r="2274" spans="3:3" x14ac:dyDescent="0.3">
      <c r="C2274" t="str">
        <f>constructions!D1145</f>
        <v xml:space="preserve">    0.574999999999996,       !- Vertex 2 X-coordinate {m}</v>
      </c>
    </row>
    <row r="2275" spans="3:3" x14ac:dyDescent="0.3">
      <c r="C2275" t="str">
        <f>constructions!D1146</f>
        <v xml:space="preserve">    6.73,                    !- Vertex 2 Y-coordinate {m}</v>
      </c>
    </row>
    <row r="2276" spans="3:3" x14ac:dyDescent="0.3">
      <c r="C2276" t="str">
        <f>constructions!D1147</f>
        <v xml:space="preserve">    1.1556904400607,         !- Vertex 2 Z-coordinate {m}</v>
      </c>
    </row>
    <row r="2277" spans="3:3" x14ac:dyDescent="0.3">
      <c r="C2277" t="str">
        <f>constructions!D1148</f>
        <v xml:space="preserve">    0.574999999999996,       !- Vertex 3 X-coordinate {m}</v>
      </c>
    </row>
    <row r="2278" spans="3:3" x14ac:dyDescent="0.3">
      <c r="C2278" t="str">
        <f>constructions!D1149</f>
        <v xml:space="preserve">    6.73,                    !- Vertex 3 Y-coordinate {m}</v>
      </c>
    </row>
    <row r="2279" spans="3:3" x14ac:dyDescent="0.3">
      <c r="C2279" t="str">
        <f>constructions!D1150</f>
        <v xml:space="preserve">    3.60955709766131e-016,   !- Vertex 3 Z-coordinate {m}</v>
      </c>
    </row>
    <row r="2280" spans="3:3" x14ac:dyDescent="0.3">
      <c r="C2280" t="str">
        <f>constructions!D1151</f>
        <v xml:space="preserve">    -4.33146851719357e-015,  !- Vertex 4 X-coordinate {m}</v>
      </c>
    </row>
    <row r="2281" spans="3:3" x14ac:dyDescent="0.3">
      <c r="C2281" t="str">
        <f>constructions!D1152</f>
        <v xml:space="preserve">    6.73,                    !- Vertex 4 Y-coordinate {m}</v>
      </c>
    </row>
    <row r="2282" spans="3:3" x14ac:dyDescent="0.3">
      <c r="C2282" t="str">
        <f>constructions!D1153</f>
        <v xml:space="preserve">    7.21911419532262e-016;   !- Vertex 4 Z-coordinate {m}</v>
      </c>
    </row>
    <row r="2283" spans="3:3" x14ac:dyDescent="0.3">
      <c r="C2283" t="str">
        <f>constructions!D1154</f>
        <v/>
      </c>
    </row>
    <row r="2284" spans="3:3" x14ac:dyDescent="0.3">
      <c r="C2284" t="str">
        <f>constructions!D1155</f>
        <v>BuildingSurface:Detailed,</v>
      </c>
    </row>
    <row r="2285" spans="3:3" x14ac:dyDescent="0.3">
      <c r="C2285" t="str">
        <f>constructions!D1156</f>
        <v xml:space="preserve">    ParedeTelhado2Sul 1,     !- Name</v>
      </c>
    </row>
    <row r="2286" spans="3:3" x14ac:dyDescent="0.3">
      <c r="C2286" t="str">
        <f>constructions!D1157</f>
        <v xml:space="preserve">    Wall,                    !- Surface Type</v>
      </c>
    </row>
    <row r="2287" spans="3:3" x14ac:dyDescent="0.3">
      <c r="C2287" t="str">
        <f>constructions!D1158</f>
        <v>Parede  Tijolo cerâmico 9x14x24 c/ argamassa int e ext             ,  !- Construction Name</v>
      </c>
    </row>
    <row r="2288" spans="3:3" x14ac:dyDescent="0.3">
      <c r="C2288" t="str">
        <f>constructions!D1159</f>
        <v xml:space="preserve">    Telhado2,                !- Zone Name</v>
      </c>
    </row>
    <row r="2289" spans="3:3" x14ac:dyDescent="0.3">
      <c r="C2289" t="str">
        <f>constructions!D1160</f>
        <v xml:space="preserve">    Outdoors,                !- Outside Boundary Condition</v>
      </c>
    </row>
    <row r="2290" spans="3:3" x14ac:dyDescent="0.3">
      <c r="C2290" t="str">
        <f>constructions!D1161</f>
        <v xml:space="preserve">    ,                        !- Outside Boundary Condition Object</v>
      </c>
    </row>
    <row r="2291" spans="3:3" x14ac:dyDescent="0.3">
      <c r="C2291" t="str">
        <f>constructions!D1162</f>
        <v xml:space="preserve">    SunExposed,              !- Sun Exposure</v>
      </c>
    </row>
    <row r="2292" spans="3:3" x14ac:dyDescent="0.3">
      <c r="C2292" t="str">
        <f>constructions!D1163</f>
        <v xml:space="preserve">    WindExposed,             !- Wind Exposure</v>
      </c>
    </row>
    <row r="2293" spans="3:3" x14ac:dyDescent="0.3">
      <c r="C2293" t="str">
        <f>constructions!D1164</f>
        <v xml:space="preserve">    ,                        !- View Factor to Ground</v>
      </c>
    </row>
    <row r="2294" spans="3:3" x14ac:dyDescent="0.3">
      <c r="C2294" t="str">
        <f>constructions!D1165</f>
        <v xml:space="preserve">    ,                        !- Number of Vertices</v>
      </c>
    </row>
    <row r="2295" spans="3:3" x14ac:dyDescent="0.3">
      <c r="C2295" t="str">
        <f>constructions!D1166</f>
        <v xml:space="preserve">    -5.05337993672583e-015,  !- Vertex 1 X-coordinate {m}</v>
      </c>
    </row>
    <row r="2296" spans="3:3" x14ac:dyDescent="0.3">
      <c r="C2296" t="str">
        <f>constructions!D1167</f>
        <v xml:space="preserve">    4.51194637207664e-017,   !- Vertex 1 Y-coordinate {m}</v>
      </c>
    </row>
    <row r="2297" spans="3:3" x14ac:dyDescent="0.3">
      <c r="C2297" t="str">
        <f>constructions!D1168</f>
        <v xml:space="preserve">    1.4,                     !- Vertex 1 Z-coordinate {m}</v>
      </c>
    </row>
    <row r="2298" spans="3:3" x14ac:dyDescent="0.3">
      <c r="C2298" t="str">
        <f>constructions!D1169</f>
        <v xml:space="preserve">    -5.05337993672583e-015,  !- Vertex 2 X-coordinate {m}</v>
      </c>
    </row>
    <row r="2299" spans="3:3" x14ac:dyDescent="0.3">
      <c r="C2299" t="str">
        <f>constructions!D1170</f>
        <v xml:space="preserve">    -4.51194637207664e-017,  !- Vertex 2 Y-coordinate {m}</v>
      </c>
    </row>
    <row r="2300" spans="3:3" x14ac:dyDescent="0.3">
      <c r="C2300" t="str">
        <f>constructions!D1171</f>
        <v xml:space="preserve">    3.60955709766131e-016,   !- Vertex 2 Z-coordinate {m}</v>
      </c>
    </row>
    <row r="2301" spans="3:3" x14ac:dyDescent="0.3">
      <c r="C2301" t="str">
        <f>constructions!D1172</f>
        <v xml:space="preserve">    0.574999999999996,       !- Vertex 3 X-coordinate {m}</v>
      </c>
    </row>
    <row r="2302" spans="3:3" x14ac:dyDescent="0.3">
      <c r="C2302" t="str">
        <f>constructions!D1173</f>
        <v xml:space="preserve">    5.6399329650958e-017,    !- Vertex 3 Y-coordinate {m}</v>
      </c>
    </row>
    <row r="2303" spans="3:3" x14ac:dyDescent="0.3">
      <c r="C2303" t="str">
        <f>constructions!D1174</f>
        <v xml:space="preserve">    0,                       !- Vertex 3 Z-coordinate {m}</v>
      </c>
    </row>
    <row r="2304" spans="3:3" x14ac:dyDescent="0.3">
      <c r="C2304" t="str">
        <f>constructions!D1175</f>
        <v xml:space="preserve">    0.574999999999996,       !- Vertex 4 X-coordinate {m}</v>
      </c>
    </row>
    <row r="2305" spans="3:3" x14ac:dyDescent="0.3">
      <c r="C2305" t="str">
        <f>constructions!D1176</f>
        <v xml:space="preserve">    1.24078525232107e-016,   !- Vertex 4 Y-coordinate {m}</v>
      </c>
    </row>
    <row r="2306" spans="3:3" x14ac:dyDescent="0.3">
      <c r="C2306" t="str">
        <f>constructions!D1177</f>
        <v xml:space="preserve">    1.1556904400607;         !- Vertex 4 Z-coordinate {m}</v>
      </c>
    </row>
    <row r="2307" spans="3:3" x14ac:dyDescent="0.3">
      <c r="C2307" t="str">
        <f>constructions!D1178</f>
        <v/>
      </c>
    </row>
    <row r="2308" spans="3:3" x14ac:dyDescent="0.3">
      <c r="C2308" t="str">
        <f>constructions!D1179</f>
        <v>BuildingSurface:Detailed,</v>
      </c>
    </row>
    <row r="2309" spans="3:3" x14ac:dyDescent="0.3">
      <c r="C2309" t="str">
        <f>constructions!D1180</f>
        <v xml:space="preserve">    Telha2,                  !- Name</v>
      </c>
    </row>
    <row r="2310" spans="3:3" x14ac:dyDescent="0.3">
      <c r="C2310" t="str">
        <f>constructions!D1181</f>
        <v xml:space="preserve">    Roof,                    !- Surface Type</v>
      </c>
    </row>
    <row r="2311" spans="3:3" x14ac:dyDescent="0.3">
      <c r="C2311" t="str">
        <f>constructions!D1182</f>
        <v>Telha ceramica,!- Construction Name</v>
      </c>
    </row>
    <row r="2312" spans="3:3" x14ac:dyDescent="0.3">
      <c r="C2312" t="str">
        <f>constructions!D1183</f>
        <v xml:space="preserve">    Telhado2,                !- Zone Name</v>
      </c>
    </row>
    <row r="2313" spans="3:3" x14ac:dyDescent="0.3">
      <c r="C2313" t="str">
        <f>constructions!D1184</f>
        <v xml:space="preserve">    Outdoors,                !- Outside Boundary Condition</v>
      </c>
    </row>
    <row r="2314" spans="3:3" x14ac:dyDescent="0.3">
      <c r="C2314" t="str">
        <f>constructions!D1185</f>
        <v xml:space="preserve">    ,                        !- Outside Boundary Condition Object</v>
      </c>
    </row>
    <row r="2315" spans="3:3" x14ac:dyDescent="0.3">
      <c r="C2315" t="str">
        <f>constructions!D1186</f>
        <v xml:space="preserve">    SunExposed,              !- Sun Exposure</v>
      </c>
    </row>
    <row r="2316" spans="3:3" x14ac:dyDescent="0.3">
      <c r="C2316" t="str">
        <f>constructions!D1187</f>
        <v xml:space="preserve">    WindExposed,             !- Wind Exposure</v>
      </c>
    </row>
    <row r="2317" spans="3:3" x14ac:dyDescent="0.3">
      <c r="C2317" t="str">
        <f>constructions!D1188</f>
        <v xml:space="preserve">    ,                        !- View Factor to Ground</v>
      </c>
    </row>
    <row r="2318" spans="3:3" x14ac:dyDescent="0.3">
      <c r="C2318" t="str">
        <f>constructions!D1189</f>
        <v xml:space="preserve">    ,                        !- Number of Vertices</v>
      </c>
    </row>
    <row r="2319" spans="3:3" x14ac:dyDescent="0.3">
      <c r="C2319" t="str">
        <f>constructions!D1190</f>
        <v xml:space="preserve">    -5.05337993672583e-015,  !- Vertex 1 X-coordinate {m}</v>
      </c>
    </row>
    <row r="2320" spans="3:3" x14ac:dyDescent="0.3">
      <c r="C2320" t="str">
        <f>constructions!D1191</f>
        <v xml:space="preserve">    4.51194637207664e-017,   !- Vertex 1 Y-coordinate {m}</v>
      </c>
    </row>
    <row r="2321" spans="3:3" x14ac:dyDescent="0.3">
      <c r="C2321" t="str">
        <f>constructions!D1192</f>
        <v xml:space="preserve">    1.4,                     !- Vertex 1 Z-coordinate {m}</v>
      </c>
    </row>
    <row r="2322" spans="3:3" x14ac:dyDescent="0.3">
      <c r="C2322" t="str">
        <f>constructions!D1193</f>
        <v xml:space="preserve">    0.574999999999996,       !- Vertex 2 X-coordinate {m}</v>
      </c>
    </row>
    <row r="2323" spans="3:3" x14ac:dyDescent="0.3">
      <c r="C2323" t="str">
        <f>constructions!D1194</f>
        <v xml:space="preserve">    1.24078525232107e-016,   !- Vertex 2 Y-coordinate {m}</v>
      </c>
    </row>
    <row r="2324" spans="3:3" x14ac:dyDescent="0.3">
      <c r="C2324" t="str">
        <f>constructions!D1195</f>
        <v xml:space="preserve">    1.1556904400607,         !- Vertex 2 Z-coordinate {m}</v>
      </c>
    </row>
    <row r="2325" spans="3:3" x14ac:dyDescent="0.3">
      <c r="C2325" t="str">
        <f>constructions!D1196</f>
        <v xml:space="preserve">    0.574999999999996,       !- Vertex 3 X-coordinate {m}</v>
      </c>
    </row>
    <row r="2326" spans="3:3" x14ac:dyDescent="0.3">
      <c r="C2326" t="str">
        <f>constructions!D1197</f>
        <v xml:space="preserve">    6.73,                    !- Vertex 3 Y-coordinate {m}</v>
      </c>
    </row>
    <row r="2327" spans="3:3" x14ac:dyDescent="0.3">
      <c r="C2327" t="str">
        <f>constructions!D1198</f>
        <v xml:space="preserve">    1.1556904400607,         !- Vertex 3 Z-coordinate {m}</v>
      </c>
    </row>
    <row r="2328" spans="3:3" x14ac:dyDescent="0.3">
      <c r="C2328" t="str">
        <f>constructions!D1199</f>
        <v xml:space="preserve">    -4.33146851719357e-015,  !- Vertex 4 X-coordinate {m}</v>
      </c>
    </row>
    <row r="2329" spans="3:3" x14ac:dyDescent="0.3">
      <c r="C2329" t="str">
        <f>constructions!D1200</f>
        <v xml:space="preserve">    6.73,                    !- Vertex 4 Y-coordinate {m}</v>
      </c>
    </row>
    <row r="2330" spans="3:3" x14ac:dyDescent="0.3">
      <c r="C2330" t="str">
        <f>constructions!D1201</f>
        <v xml:space="preserve">    1.4;                     !- Vertex 4 Z-coordinate {m}</v>
      </c>
    </row>
    <row r="2333" spans="3:3" x14ac:dyDescent="0.3">
      <c r="C2333" t="s">
        <v>298</v>
      </c>
    </row>
    <row r="2335" spans="3:3" x14ac:dyDescent="0.3">
      <c r="C2335" t="s">
        <v>797</v>
      </c>
    </row>
    <row r="2336" spans="3:3" x14ac:dyDescent="0.3">
      <c r="C2336" t="s">
        <v>798</v>
      </c>
    </row>
    <row r="2337" spans="3:3" x14ac:dyDescent="0.3">
      <c r="C2337" t="s">
        <v>799</v>
      </c>
    </row>
    <row r="2338" spans="3:3" x14ac:dyDescent="0.3">
      <c r="C2338" t="s">
        <v>800</v>
      </c>
    </row>
    <row r="2339" spans="3:3" x14ac:dyDescent="0.3">
      <c r="C2339" t="s">
        <v>801</v>
      </c>
    </row>
    <row r="2340" spans="3:3" x14ac:dyDescent="0.3">
      <c r="C2340" t="s">
        <v>802</v>
      </c>
    </row>
    <row r="2341" spans="3:3" x14ac:dyDescent="0.3">
      <c r="C2341" t="s">
        <v>50</v>
      </c>
    </row>
    <row r="2342" spans="3:3" x14ac:dyDescent="0.3">
      <c r="C2342" t="s">
        <v>803</v>
      </c>
    </row>
    <row r="2343" spans="3:3" x14ac:dyDescent="0.3">
      <c r="C2343" t="s">
        <v>804</v>
      </c>
    </row>
    <row r="2344" spans="3:3" x14ac:dyDescent="0.3">
      <c r="C2344" t="s">
        <v>51</v>
      </c>
    </row>
    <row r="2345" spans="3:3" x14ac:dyDescent="0.3">
      <c r="C2345" t="s">
        <v>52</v>
      </c>
    </row>
    <row r="2346" spans="3:3" x14ac:dyDescent="0.3">
      <c r="C2346" t="s">
        <v>805</v>
      </c>
    </row>
    <row r="2347" spans="3:3" x14ac:dyDescent="0.3">
      <c r="C2347" t="s">
        <v>806</v>
      </c>
    </row>
    <row r="2348" spans="3:3" x14ac:dyDescent="0.3">
      <c r="C2348" t="s">
        <v>55</v>
      </c>
    </row>
    <row r="2349" spans="3:3" x14ac:dyDescent="0.3">
      <c r="C2349" t="s">
        <v>807</v>
      </c>
    </row>
    <row r="2350" spans="3:3" x14ac:dyDescent="0.3">
      <c r="C2350" t="s">
        <v>57</v>
      </c>
    </row>
    <row r="2351" spans="3:3" x14ac:dyDescent="0.3">
      <c r="C2351" t="s">
        <v>58</v>
      </c>
    </row>
    <row r="2352" spans="3:3" x14ac:dyDescent="0.3">
      <c r="C2352" t="s">
        <v>808</v>
      </c>
    </row>
    <row r="2353" spans="3:3" x14ac:dyDescent="0.3">
      <c r="C2353" t="s">
        <v>60</v>
      </c>
    </row>
    <row r="2354" spans="3:3" x14ac:dyDescent="0.3">
      <c r="C2354" t="s">
        <v>61</v>
      </c>
    </row>
    <row r="2355" spans="3:3" x14ac:dyDescent="0.3">
      <c r="C2355" t="s">
        <v>809</v>
      </c>
    </row>
    <row r="2356" spans="3:3" x14ac:dyDescent="0.3">
      <c r="C2356" t="s">
        <v>810</v>
      </c>
    </row>
    <row r="2358" spans="3:3" x14ac:dyDescent="0.3">
      <c r="C2358" t="s">
        <v>797</v>
      </c>
    </row>
    <row r="2359" spans="3:3" x14ac:dyDescent="0.3">
      <c r="C2359" t="s">
        <v>811</v>
      </c>
    </row>
    <row r="2360" spans="3:3" x14ac:dyDescent="0.3">
      <c r="C2360" t="s">
        <v>799</v>
      </c>
    </row>
    <row r="2361" spans="3:3" x14ac:dyDescent="0.3">
      <c r="C2361" t="s">
        <v>800</v>
      </c>
    </row>
    <row r="2362" spans="3:3" x14ac:dyDescent="0.3">
      <c r="C2362" t="s">
        <v>812</v>
      </c>
    </row>
    <row r="2363" spans="3:3" x14ac:dyDescent="0.3">
      <c r="C2363" t="s">
        <v>813</v>
      </c>
    </row>
    <row r="2364" spans="3:3" x14ac:dyDescent="0.3">
      <c r="C2364" t="s">
        <v>50</v>
      </c>
    </row>
    <row r="2365" spans="3:3" x14ac:dyDescent="0.3">
      <c r="C2365" t="s">
        <v>803</v>
      </c>
    </row>
    <row r="2366" spans="3:3" x14ac:dyDescent="0.3">
      <c r="C2366" t="s">
        <v>804</v>
      </c>
    </row>
    <row r="2367" spans="3:3" x14ac:dyDescent="0.3">
      <c r="C2367" t="s">
        <v>51</v>
      </c>
    </row>
    <row r="2368" spans="3:3" x14ac:dyDescent="0.3">
      <c r="C2368" t="s">
        <v>52</v>
      </c>
    </row>
    <row r="2369" spans="3:3" x14ac:dyDescent="0.3">
      <c r="C2369" t="s">
        <v>814</v>
      </c>
    </row>
    <row r="2370" spans="3:3" x14ac:dyDescent="0.3">
      <c r="C2370" t="s">
        <v>806</v>
      </c>
    </row>
    <row r="2371" spans="3:3" x14ac:dyDescent="0.3">
      <c r="C2371" t="s">
        <v>55</v>
      </c>
    </row>
    <row r="2372" spans="3:3" x14ac:dyDescent="0.3">
      <c r="C2372" t="s">
        <v>815</v>
      </c>
    </row>
    <row r="2373" spans="3:3" x14ac:dyDescent="0.3">
      <c r="C2373" t="s">
        <v>57</v>
      </c>
    </row>
    <row r="2374" spans="3:3" x14ac:dyDescent="0.3">
      <c r="C2374" t="s">
        <v>58</v>
      </c>
    </row>
    <row r="2375" spans="3:3" x14ac:dyDescent="0.3">
      <c r="C2375" t="s">
        <v>816</v>
      </c>
    </row>
    <row r="2376" spans="3:3" x14ac:dyDescent="0.3">
      <c r="C2376" t="s">
        <v>60</v>
      </c>
    </row>
    <row r="2377" spans="3:3" x14ac:dyDescent="0.3">
      <c r="C2377" t="s">
        <v>61</v>
      </c>
    </row>
    <row r="2378" spans="3:3" x14ac:dyDescent="0.3">
      <c r="C2378" t="s">
        <v>817</v>
      </c>
    </row>
    <row r="2379" spans="3:3" x14ac:dyDescent="0.3">
      <c r="C2379" t="s">
        <v>810</v>
      </c>
    </row>
    <row r="2381" spans="3:3" x14ac:dyDescent="0.3">
      <c r="C2381" t="s">
        <v>797</v>
      </c>
    </row>
    <row r="2382" spans="3:3" x14ac:dyDescent="0.3">
      <c r="C2382" t="s">
        <v>818</v>
      </c>
    </row>
    <row r="2383" spans="3:3" x14ac:dyDescent="0.3">
      <c r="C2383" t="s">
        <v>799</v>
      </c>
    </row>
    <row r="2384" spans="3:3" x14ac:dyDescent="0.3">
      <c r="C2384" t="s">
        <v>800</v>
      </c>
    </row>
    <row r="2385" spans="3:3" x14ac:dyDescent="0.3">
      <c r="C2385" t="s">
        <v>819</v>
      </c>
    </row>
    <row r="2386" spans="3:3" x14ac:dyDescent="0.3">
      <c r="C2386" t="s">
        <v>72</v>
      </c>
    </row>
    <row r="2387" spans="3:3" x14ac:dyDescent="0.3">
      <c r="C2387" t="s">
        <v>50</v>
      </c>
    </row>
    <row r="2388" spans="3:3" x14ac:dyDescent="0.3">
      <c r="C2388" t="s">
        <v>803</v>
      </c>
    </row>
    <row r="2389" spans="3:3" x14ac:dyDescent="0.3">
      <c r="C2389" t="s">
        <v>804</v>
      </c>
    </row>
    <row r="2390" spans="3:3" x14ac:dyDescent="0.3">
      <c r="C2390" t="s">
        <v>51</v>
      </c>
    </row>
    <row r="2391" spans="3:3" x14ac:dyDescent="0.3">
      <c r="C2391" t="s">
        <v>52</v>
      </c>
    </row>
    <row r="2392" spans="3:3" x14ac:dyDescent="0.3">
      <c r="C2392" t="s">
        <v>820</v>
      </c>
    </row>
    <row r="2393" spans="3:3" x14ac:dyDescent="0.3">
      <c r="C2393" t="s">
        <v>806</v>
      </c>
    </row>
    <row r="2394" spans="3:3" x14ac:dyDescent="0.3">
      <c r="C2394" t="s">
        <v>55</v>
      </c>
    </row>
    <row r="2395" spans="3:3" x14ac:dyDescent="0.3">
      <c r="C2395" t="s">
        <v>821</v>
      </c>
    </row>
    <row r="2396" spans="3:3" x14ac:dyDescent="0.3">
      <c r="C2396" t="s">
        <v>57</v>
      </c>
    </row>
    <row r="2397" spans="3:3" x14ac:dyDescent="0.3">
      <c r="C2397" t="s">
        <v>58</v>
      </c>
    </row>
    <row r="2398" spans="3:3" x14ac:dyDescent="0.3">
      <c r="C2398" t="s">
        <v>822</v>
      </c>
    </row>
    <row r="2399" spans="3:3" x14ac:dyDescent="0.3">
      <c r="C2399" t="s">
        <v>60</v>
      </c>
    </row>
    <row r="2400" spans="3:3" x14ac:dyDescent="0.3">
      <c r="C2400" t="s">
        <v>61</v>
      </c>
    </row>
    <row r="2401" spans="3:3" x14ac:dyDescent="0.3">
      <c r="C2401" t="s">
        <v>823</v>
      </c>
    </row>
    <row r="2402" spans="3:3" x14ac:dyDescent="0.3">
      <c r="C2402" t="s">
        <v>810</v>
      </c>
    </row>
    <row r="2404" spans="3:3" x14ac:dyDescent="0.3">
      <c r="C2404" t="s">
        <v>797</v>
      </c>
    </row>
    <row r="2405" spans="3:3" x14ac:dyDescent="0.3">
      <c r="C2405" t="s">
        <v>824</v>
      </c>
    </row>
    <row r="2406" spans="3:3" x14ac:dyDescent="0.3">
      <c r="C2406" t="s">
        <v>799</v>
      </c>
    </row>
    <row r="2407" spans="3:3" x14ac:dyDescent="0.3">
      <c r="C2407" t="s">
        <v>800</v>
      </c>
    </row>
    <row r="2408" spans="3:3" x14ac:dyDescent="0.3">
      <c r="C2408" t="s">
        <v>825</v>
      </c>
    </row>
    <row r="2409" spans="3:3" x14ac:dyDescent="0.3">
      <c r="C2409" t="s">
        <v>72</v>
      </c>
    </row>
    <row r="2410" spans="3:3" x14ac:dyDescent="0.3">
      <c r="C2410" t="s">
        <v>50</v>
      </c>
    </row>
    <row r="2411" spans="3:3" x14ac:dyDescent="0.3">
      <c r="C2411" t="s">
        <v>803</v>
      </c>
    </row>
    <row r="2412" spans="3:3" x14ac:dyDescent="0.3">
      <c r="C2412" t="s">
        <v>804</v>
      </c>
    </row>
    <row r="2413" spans="3:3" x14ac:dyDescent="0.3">
      <c r="C2413" t="s">
        <v>51</v>
      </c>
    </row>
    <row r="2414" spans="3:3" x14ac:dyDescent="0.3">
      <c r="C2414" t="s">
        <v>826</v>
      </c>
    </row>
    <row r="2415" spans="3:3" x14ac:dyDescent="0.3">
      <c r="C2415" t="s">
        <v>80</v>
      </c>
    </row>
    <row r="2416" spans="3:3" x14ac:dyDescent="0.3">
      <c r="C2416" t="s">
        <v>806</v>
      </c>
    </row>
    <row r="2417" spans="3:3" x14ac:dyDescent="0.3">
      <c r="C2417" t="s">
        <v>827</v>
      </c>
    </row>
    <row r="2418" spans="3:3" x14ac:dyDescent="0.3">
      <c r="C2418" t="s">
        <v>81</v>
      </c>
    </row>
    <row r="2419" spans="3:3" x14ac:dyDescent="0.3">
      <c r="C2419" t="s">
        <v>57</v>
      </c>
    </row>
    <row r="2420" spans="3:3" x14ac:dyDescent="0.3">
      <c r="C2420" t="s">
        <v>828</v>
      </c>
    </row>
    <row r="2421" spans="3:3" x14ac:dyDescent="0.3">
      <c r="C2421" t="s">
        <v>68</v>
      </c>
    </row>
    <row r="2422" spans="3:3" x14ac:dyDescent="0.3">
      <c r="C2422" t="s">
        <v>60</v>
      </c>
    </row>
    <row r="2423" spans="3:3" x14ac:dyDescent="0.3">
      <c r="C2423" t="s">
        <v>829</v>
      </c>
    </row>
    <row r="2424" spans="3:3" x14ac:dyDescent="0.3">
      <c r="C2424" t="s">
        <v>69</v>
      </c>
    </row>
    <row r="2425" spans="3:3" x14ac:dyDescent="0.3">
      <c r="C2425" t="s">
        <v>810</v>
      </c>
    </row>
    <row r="2427" spans="3:3" x14ac:dyDescent="0.3">
      <c r="C2427" t="s">
        <v>797</v>
      </c>
    </row>
    <row r="2428" spans="3:3" x14ac:dyDescent="0.3">
      <c r="C2428" t="s">
        <v>830</v>
      </c>
    </row>
    <row r="2429" spans="3:3" x14ac:dyDescent="0.3">
      <c r="C2429" t="s">
        <v>831</v>
      </c>
    </row>
    <row r="2430" spans="3:3" x14ac:dyDescent="0.3">
      <c r="C2430" t="s">
        <v>832</v>
      </c>
    </row>
    <row r="2431" spans="3:3" x14ac:dyDescent="0.3">
      <c r="C2431" t="s">
        <v>833</v>
      </c>
    </row>
    <row r="2432" spans="3:3" x14ac:dyDescent="0.3">
      <c r="C2432" t="s">
        <v>72</v>
      </c>
    </row>
    <row r="2433" spans="3:3" x14ac:dyDescent="0.3">
      <c r="C2433" t="s">
        <v>50</v>
      </c>
    </row>
    <row r="2434" spans="3:3" x14ac:dyDescent="0.3">
      <c r="C2434" t="s">
        <v>803</v>
      </c>
    </row>
    <row r="2435" spans="3:3" x14ac:dyDescent="0.3">
      <c r="C2435" t="s">
        <v>804</v>
      </c>
    </row>
    <row r="2436" spans="3:3" x14ac:dyDescent="0.3">
      <c r="C2436" t="s">
        <v>51</v>
      </c>
    </row>
    <row r="2437" spans="3:3" x14ac:dyDescent="0.3">
      <c r="C2437" t="s">
        <v>85</v>
      </c>
    </row>
    <row r="2438" spans="3:3" x14ac:dyDescent="0.3">
      <c r="C2438" t="s">
        <v>834</v>
      </c>
    </row>
    <row r="2439" spans="3:3" x14ac:dyDescent="0.3">
      <c r="C2439" t="s">
        <v>806</v>
      </c>
    </row>
    <row r="2440" spans="3:3" x14ac:dyDescent="0.3">
      <c r="C2440" t="s">
        <v>87</v>
      </c>
    </row>
    <row r="2441" spans="3:3" x14ac:dyDescent="0.3">
      <c r="C2441" t="s">
        <v>835</v>
      </c>
    </row>
    <row r="2442" spans="3:3" x14ac:dyDescent="0.3">
      <c r="C2442" t="s">
        <v>836</v>
      </c>
    </row>
    <row r="2443" spans="3:3" x14ac:dyDescent="0.3">
      <c r="C2443" t="s">
        <v>89</v>
      </c>
    </row>
    <row r="2444" spans="3:3" x14ac:dyDescent="0.3">
      <c r="C2444" t="s">
        <v>837</v>
      </c>
    </row>
    <row r="2445" spans="3:3" x14ac:dyDescent="0.3">
      <c r="C2445" t="s">
        <v>838</v>
      </c>
    </row>
    <row r="2446" spans="3:3" x14ac:dyDescent="0.3">
      <c r="C2446" t="s">
        <v>91</v>
      </c>
    </row>
    <row r="2447" spans="3:3" x14ac:dyDescent="0.3">
      <c r="C2447" t="s">
        <v>839</v>
      </c>
    </row>
    <row r="2448" spans="3:3" x14ac:dyDescent="0.3">
      <c r="C2448" t="s">
        <v>810</v>
      </c>
    </row>
    <row r="2450" spans="3:3" x14ac:dyDescent="0.3">
      <c r="C2450" t="s">
        <v>797</v>
      </c>
    </row>
    <row r="2451" spans="3:3" x14ac:dyDescent="0.3">
      <c r="C2451" t="s">
        <v>840</v>
      </c>
    </row>
    <row r="2452" spans="3:3" x14ac:dyDescent="0.3">
      <c r="C2452" t="s">
        <v>831</v>
      </c>
    </row>
    <row r="2453" spans="3:3" x14ac:dyDescent="0.3">
      <c r="C2453" t="s">
        <v>832</v>
      </c>
    </row>
    <row r="2454" spans="3:3" x14ac:dyDescent="0.3">
      <c r="C2454" t="s">
        <v>841</v>
      </c>
    </row>
    <row r="2455" spans="3:3" x14ac:dyDescent="0.3">
      <c r="C2455" t="s">
        <v>72</v>
      </c>
    </row>
    <row r="2456" spans="3:3" x14ac:dyDescent="0.3">
      <c r="C2456" t="s">
        <v>50</v>
      </c>
    </row>
    <row r="2457" spans="3:3" x14ac:dyDescent="0.3">
      <c r="C2457" t="s">
        <v>803</v>
      </c>
    </row>
    <row r="2458" spans="3:3" x14ac:dyDescent="0.3">
      <c r="C2458" t="s">
        <v>804</v>
      </c>
    </row>
    <row r="2459" spans="3:3" x14ac:dyDescent="0.3">
      <c r="C2459" t="s">
        <v>51</v>
      </c>
    </row>
    <row r="2460" spans="3:3" x14ac:dyDescent="0.3">
      <c r="C2460" t="s">
        <v>842</v>
      </c>
    </row>
    <row r="2461" spans="3:3" x14ac:dyDescent="0.3">
      <c r="C2461" t="s">
        <v>75</v>
      </c>
    </row>
    <row r="2462" spans="3:3" x14ac:dyDescent="0.3">
      <c r="C2462" t="s">
        <v>806</v>
      </c>
    </row>
    <row r="2463" spans="3:3" x14ac:dyDescent="0.3">
      <c r="C2463" t="s">
        <v>843</v>
      </c>
    </row>
    <row r="2464" spans="3:3" x14ac:dyDescent="0.3">
      <c r="C2464" t="s">
        <v>76</v>
      </c>
    </row>
    <row r="2465" spans="3:3" x14ac:dyDescent="0.3">
      <c r="C2465" t="s">
        <v>836</v>
      </c>
    </row>
    <row r="2466" spans="3:3" x14ac:dyDescent="0.3">
      <c r="C2466" t="s">
        <v>844</v>
      </c>
    </row>
    <row r="2467" spans="3:3" x14ac:dyDescent="0.3">
      <c r="C2467" t="s">
        <v>90</v>
      </c>
    </row>
    <row r="2468" spans="3:3" x14ac:dyDescent="0.3">
      <c r="C2468" t="s">
        <v>838</v>
      </c>
    </row>
    <row r="2469" spans="3:3" x14ac:dyDescent="0.3">
      <c r="C2469" t="s">
        <v>845</v>
      </c>
    </row>
    <row r="2470" spans="3:3" x14ac:dyDescent="0.3">
      <c r="C2470" t="s">
        <v>92</v>
      </c>
    </row>
    <row r="2471" spans="3:3" x14ac:dyDescent="0.3">
      <c r="C2471" t="s">
        <v>810</v>
      </c>
    </row>
    <row r="2473" spans="3:3" x14ac:dyDescent="0.3">
      <c r="C2473" t="s">
        <v>797</v>
      </c>
    </row>
    <row r="2474" spans="3:3" x14ac:dyDescent="0.3">
      <c r="C2474" t="s">
        <v>846</v>
      </c>
    </row>
    <row r="2475" spans="3:3" x14ac:dyDescent="0.3">
      <c r="C2475" t="s">
        <v>799</v>
      </c>
    </row>
    <row r="2476" spans="3:3" x14ac:dyDescent="0.3">
      <c r="C2476" t="s">
        <v>800</v>
      </c>
    </row>
    <row r="2477" spans="3:3" x14ac:dyDescent="0.3">
      <c r="C2477" t="s">
        <v>847</v>
      </c>
    </row>
    <row r="2478" spans="3:3" x14ac:dyDescent="0.3">
      <c r="C2478" t="s">
        <v>848</v>
      </c>
    </row>
    <row r="2479" spans="3:3" x14ac:dyDescent="0.3">
      <c r="C2479" t="s">
        <v>50</v>
      </c>
    </row>
    <row r="2480" spans="3:3" x14ac:dyDescent="0.3">
      <c r="C2480" t="s">
        <v>803</v>
      </c>
    </row>
    <row r="2481" spans="3:3" x14ac:dyDescent="0.3">
      <c r="C2481" t="s">
        <v>804</v>
      </c>
    </row>
    <row r="2482" spans="3:3" x14ac:dyDescent="0.3">
      <c r="C2482" t="s">
        <v>51</v>
      </c>
    </row>
    <row r="2483" spans="3:3" x14ac:dyDescent="0.3">
      <c r="C2483" t="s">
        <v>96</v>
      </c>
    </row>
    <row r="2484" spans="3:3" x14ac:dyDescent="0.3">
      <c r="C2484" t="s">
        <v>849</v>
      </c>
    </row>
    <row r="2485" spans="3:3" x14ac:dyDescent="0.3">
      <c r="C2485" t="s">
        <v>806</v>
      </c>
    </row>
    <row r="2486" spans="3:3" x14ac:dyDescent="0.3">
      <c r="C2486" t="s">
        <v>97</v>
      </c>
    </row>
    <row r="2487" spans="3:3" x14ac:dyDescent="0.3">
      <c r="C2487" t="s">
        <v>850</v>
      </c>
    </row>
    <row r="2488" spans="3:3" x14ac:dyDescent="0.3">
      <c r="C2488" t="s">
        <v>57</v>
      </c>
    </row>
    <row r="2489" spans="3:3" x14ac:dyDescent="0.3">
      <c r="C2489" t="s">
        <v>82</v>
      </c>
    </row>
    <row r="2490" spans="3:3" x14ac:dyDescent="0.3">
      <c r="C2490" t="s">
        <v>851</v>
      </c>
    </row>
    <row r="2491" spans="3:3" x14ac:dyDescent="0.3">
      <c r="C2491" t="s">
        <v>60</v>
      </c>
    </row>
    <row r="2492" spans="3:3" x14ac:dyDescent="0.3">
      <c r="C2492" t="s">
        <v>83</v>
      </c>
    </row>
    <row r="2493" spans="3:3" x14ac:dyDescent="0.3">
      <c r="C2493" t="s">
        <v>852</v>
      </c>
    </row>
    <row r="2494" spans="3:3" x14ac:dyDescent="0.3">
      <c r="C2494" t="s">
        <v>810</v>
      </c>
    </row>
    <row r="2496" spans="3:3" x14ac:dyDescent="0.3">
      <c r="C2496" t="s">
        <v>797</v>
      </c>
    </row>
    <row r="2497" spans="3:3" x14ac:dyDescent="0.3">
      <c r="C2497" t="s">
        <v>853</v>
      </c>
    </row>
    <row r="2498" spans="3:3" x14ac:dyDescent="0.3">
      <c r="C2498" t="s">
        <v>799</v>
      </c>
    </row>
    <row r="2499" spans="3:3" x14ac:dyDescent="0.3">
      <c r="C2499" t="s">
        <v>800</v>
      </c>
    </row>
    <row r="2500" spans="3:3" x14ac:dyDescent="0.3">
      <c r="C2500" t="s">
        <v>854</v>
      </c>
    </row>
    <row r="2501" spans="3:3" x14ac:dyDescent="0.3">
      <c r="C2501" t="s">
        <v>855</v>
      </c>
    </row>
    <row r="2502" spans="3:3" x14ac:dyDescent="0.3">
      <c r="C2502" t="s">
        <v>50</v>
      </c>
    </row>
    <row r="2503" spans="3:3" x14ac:dyDescent="0.3">
      <c r="C2503" t="s">
        <v>803</v>
      </c>
    </row>
    <row r="2504" spans="3:3" x14ac:dyDescent="0.3">
      <c r="C2504" t="s">
        <v>804</v>
      </c>
    </row>
    <row r="2505" spans="3:3" x14ac:dyDescent="0.3">
      <c r="C2505" t="s">
        <v>51</v>
      </c>
    </row>
    <row r="2506" spans="3:3" x14ac:dyDescent="0.3">
      <c r="C2506" t="s">
        <v>85</v>
      </c>
    </row>
    <row r="2507" spans="3:3" x14ac:dyDescent="0.3">
      <c r="C2507" t="s">
        <v>856</v>
      </c>
    </row>
    <row r="2508" spans="3:3" x14ac:dyDescent="0.3">
      <c r="C2508" t="s">
        <v>806</v>
      </c>
    </row>
    <row r="2509" spans="3:3" x14ac:dyDescent="0.3">
      <c r="C2509" t="s">
        <v>87</v>
      </c>
    </row>
    <row r="2510" spans="3:3" x14ac:dyDescent="0.3">
      <c r="C2510" t="s">
        <v>857</v>
      </c>
    </row>
    <row r="2511" spans="3:3" x14ac:dyDescent="0.3">
      <c r="C2511" t="s">
        <v>858</v>
      </c>
    </row>
    <row r="2512" spans="3:3" x14ac:dyDescent="0.3">
      <c r="C2512" t="s">
        <v>89</v>
      </c>
    </row>
    <row r="2513" spans="3:3" x14ac:dyDescent="0.3">
      <c r="C2513" t="s">
        <v>859</v>
      </c>
    </row>
    <row r="2514" spans="3:3" x14ac:dyDescent="0.3">
      <c r="C2514" t="s">
        <v>860</v>
      </c>
    </row>
    <row r="2515" spans="3:3" x14ac:dyDescent="0.3">
      <c r="C2515" t="s">
        <v>91</v>
      </c>
    </row>
    <row r="2516" spans="3:3" x14ac:dyDescent="0.3">
      <c r="C2516" t="s">
        <v>861</v>
      </c>
    </row>
    <row r="2517" spans="3:3" x14ac:dyDescent="0.3">
      <c r="C2517" t="s">
        <v>810</v>
      </c>
    </row>
    <row r="2519" spans="3:3" x14ac:dyDescent="0.3">
      <c r="C2519" t="s">
        <v>797</v>
      </c>
    </row>
    <row r="2520" spans="3:3" x14ac:dyDescent="0.3">
      <c r="C2520" t="s">
        <v>862</v>
      </c>
    </row>
    <row r="2521" spans="3:3" x14ac:dyDescent="0.3">
      <c r="C2521" t="s">
        <v>831</v>
      </c>
    </row>
    <row r="2522" spans="3:3" x14ac:dyDescent="0.3">
      <c r="C2522" t="s">
        <v>832</v>
      </c>
    </row>
    <row r="2523" spans="3:3" x14ac:dyDescent="0.3">
      <c r="C2523" t="s">
        <v>863</v>
      </c>
    </row>
    <row r="2524" spans="3:3" x14ac:dyDescent="0.3">
      <c r="C2524" t="s">
        <v>72</v>
      </c>
    </row>
    <row r="2525" spans="3:3" x14ac:dyDescent="0.3">
      <c r="C2525" t="s">
        <v>50</v>
      </c>
    </row>
    <row r="2526" spans="3:3" x14ac:dyDescent="0.3">
      <c r="C2526" t="s">
        <v>803</v>
      </c>
    </row>
    <row r="2527" spans="3:3" x14ac:dyDescent="0.3">
      <c r="C2527" t="s">
        <v>804</v>
      </c>
    </row>
    <row r="2528" spans="3:3" x14ac:dyDescent="0.3">
      <c r="C2528" t="s">
        <v>51</v>
      </c>
    </row>
    <row r="2529" spans="3:3" x14ac:dyDescent="0.3">
      <c r="C2529" t="s">
        <v>864</v>
      </c>
    </row>
    <row r="2530" spans="3:3" x14ac:dyDescent="0.3">
      <c r="C2530" t="s">
        <v>75</v>
      </c>
    </row>
    <row r="2531" spans="3:3" x14ac:dyDescent="0.3">
      <c r="C2531" t="s">
        <v>806</v>
      </c>
    </row>
    <row r="2532" spans="3:3" x14ac:dyDescent="0.3">
      <c r="C2532" t="s">
        <v>865</v>
      </c>
    </row>
    <row r="2533" spans="3:3" x14ac:dyDescent="0.3">
      <c r="C2533" t="s">
        <v>76</v>
      </c>
    </row>
    <row r="2534" spans="3:3" x14ac:dyDescent="0.3">
      <c r="C2534" t="s">
        <v>836</v>
      </c>
    </row>
    <row r="2535" spans="3:3" x14ac:dyDescent="0.3">
      <c r="C2535" t="s">
        <v>866</v>
      </c>
    </row>
    <row r="2536" spans="3:3" x14ac:dyDescent="0.3">
      <c r="C2536" t="s">
        <v>90</v>
      </c>
    </row>
    <row r="2537" spans="3:3" x14ac:dyDescent="0.3">
      <c r="C2537" t="s">
        <v>838</v>
      </c>
    </row>
    <row r="2538" spans="3:3" x14ac:dyDescent="0.3">
      <c r="C2538" t="s">
        <v>867</v>
      </c>
    </row>
    <row r="2539" spans="3:3" x14ac:dyDescent="0.3">
      <c r="C2539" t="s">
        <v>92</v>
      </c>
    </row>
    <row r="2540" spans="3:3" x14ac:dyDescent="0.3">
      <c r="C2540" t="s">
        <v>810</v>
      </c>
    </row>
    <row r="2542" spans="3:3" x14ac:dyDescent="0.3">
      <c r="C2542" t="s">
        <v>797</v>
      </c>
    </row>
    <row r="2543" spans="3:3" x14ac:dyDescent="0.3">
      <c r="C2543" t="s">
        <v>868</v>
      </c>
    </row>
    <row r="2544" spans="3:3" x14ac:dyDescent="0.3">
      <c r="C2544" t="s">
        <v>799</v>
      </c>
    </row>
    <row r="2545" spans="3:3" x14ac:dyDescent="0.3">
      <c r="C2545" t="s">
        <v>800</v>
      </c>
    </row>
    <row r="2546" spans="3:3" x14ac:dyDescent="0.3">
      <c r="C2546" t="s">
        <v>869</v>
      </c>
    </row>
    <row r="2547" spans="3:3" x14ac:dyDescent="0.3">
      <c r="C2547" t="s">
        <v>870</v>
      </c>
    </row>
    <row r="2548" spans="3:3" x14ac:dyDescent="0.3">
      <c r="C2548" t="s">
        <v>50</v>
      </c>
    </row>
    <row r="2549" spans="3:3" x14ac:dyDescent="0.3">
      <c r="C2549" t="s">
        <v>803</v>
      </c>
    </row>
    <row r="2550" spans="3:3" x14ac:dyDescent="0.3">
      <c r="C2550" t="s">
        <v>804</v>
      </c>
    </row>
    <row r="2551" spans="3:3" x14ac:dyDescent="0.3">
      <c r="C2551" t="s">
        <v>51</v>
      </c>
    </row>
    <row r="2552" spans="3:3" x14ac:dyDescent="0.3">
      <c r="C2552" t="s">
        <v>85</v>
      </c>
    </row>
    <row r="2553" spans="3:3" x14ac:dyDescent="0.3">
      <c r="C2553" t="s">
        <v>871</v>
      </c>
    </row>
    <row r="2554" spans="3:3" x14ac:dyDescent="0.3">
      <c r="C2554" t="s">
        <v>806</v>
      </c>
    </row>
    <row r="2555" spans="3:3" x14ac:dyDescent="0.3">
      <c r="C2555" t="s">
        <v>87</v>
      </c>
    </row>
    <row r="2556" spans="3:3" x14ac:dyDescent="0.3">
      <c r="C2556" t="s">
        <v>872</v>
      </c>
    </row>
    <row r="2557" spans="3:3" x14ac:dyDescent="0.3">
      <c r="C2557" t="s">
        <v>873</v>
      </c>
    </row>
    <row r="2558" spans="3:3" x14ac:dyDescent="0.3">
      <c r="C2558" t="s">
        <v>89</v>
      </c>
    </row>
    <row r="2559" spans="3:3" x14ac:dyDescent="0.3">
      <c r="C2559" t="s">
        <v>874</v>
      </c>
    </row>
    <row r="2560" spans="3:3" x14ac:dyDescent="0.3">
      <c r="C2560" t="s">
        <v>875</v>
      </c>
    </row>
    <row r="2561" spans="3:3" x14ac:dyDescent="0.3">
      <c r="C2561" t="s">
        <v>91</v>
      </c>
    </row>
    <row r="2562" spans="3:3" x14ac:dyDescent="0.3">
      <c r="C2562" t="s">
        <v>876</v>
      </c>
    </row>
    <row r="2563" spans="3:3" x14ac:dyDescent="0.3">
      <c r="C2563" t="s">
        <v>810</v>
      </c>
    </row>
    <row r="2565" spans="3:3" x14ac:dyDescent="0.3">
      <c r="C2565" t="s">
        <v>797</v>
      </c>
    </row>
    <row r="2566" spans="3:3" x14ac:dyDescent="0.3">
      <c r="C2566" t="s">
        <v>877</v>
      </c>
    </row>
    <row r="2567" spans="3:3" x14ac:dyDescent="0.3">
      <c r="C2567" t="s">
        <v>831</v>
      </c>
    </row>
    <row r="2568" spans="3:3" x14ac:dyDescent="0.3">
      <c r="C2568" t="s">
        <v>832</v>
      </c>
    </row>
    <row r="2569" spans="3:3" x14ac:dyDescent="0.3">
      <c r="C2569" t="s">
        <v>878</v>
      </c>
    </row>
    <row r="2570" spans="3:3" x14ac:dyDescent="0.3">
      <c r="C2570" t="s">
        <v>72</v>
      </c>
    </row>
    <row r="2571" spans="3:3" x14ac:dyDescent="0.3">
      <c r="C2571" t="s">
        <v>50</v>
      </c>
    </row>
    <row r="2572" spans="3:3" x14ac:dyDescent="0.3">
      <c r="C2572" t="s">
        <v>803</v>
      </c>
    </row>
    <row r="2573" spans="3:3" x14ac:dyDescent="0.3">
      <c r="C2573" t="s">
        <v>804</v>
      </c>
    </row>
    <row r="2574" spans="3:3" x14ac:dyDescent="0.3">
      <c r="C2574" t="s">
        <v>51</v>
      </c>
    </row>
    <row r="2575" spans="3:3" x14ac:dyDescent="0.3">
      <c r="C2575" t="s">
        <v>125</v>
      </c>
    </row>
    <row r="2576" spans="3:3" x14ac:dyDescent="0.3">
      <c r="C2576" t="s">
        <v>879</v>
      </c>
    </row>
    <row r="2577" spans="3:3" x14ac:dyDescent="0.3">
      <c r="C2577" t="s">
        <v>806</v>
      </c>
    </row>
    <row r="2578" spans="3:3" x14ac:dyDescent="0.3">
      <c r="C2578" t="s">
        <v>127</v>
      </c>
    </row>
    <row r="2579" spans="3:3" x14ac:dyDescent="0.3">
      <c r="C2579" t="s">
        <v>880</v>
      </c>
    </row>
    <row r="2580" spans="3:3" x14ac:dyDescent="0.3">
      <c r="C2580" t="s">
        <v>836</v>
      </c>
    </row>
    <row r="2581" spans="3:3" x14ac:dyDescent="0.3">
      <c r="C2581" t="s">
        <v>142</v>
      </c>
    </row>
    <row r="2582" spans="3:3" x14ac:dyDescent="0.3">
      <c r="C2582" t="s">
        <v>881</v>
      </c>
    </row>
    <row r="2583" spans="3:3" x14ac:dyDescent="0.3">
      <c r="C2583" t="s">
        <v>838</v>
      </c>
    </row>
    <row r="2584" spans="3:3" x14ac:dyDescent="0.3">
      <c r="C2584" t="s">
        <v>143</v>
      </c>
    </row>
    <row r="2585" spans="3:3" x14ac:dyDescent="0.3">
      <c r="C2585" t="s">
        <v>882</v>
      </c>
    </row>
    <row r="2586" spans="3:3" x14ac:dyDescent="0.3">
      <c r="C2586" t="s">
        <v>810</v>
      </c>
    </row>
    <row r="2588" spans="3:3" x14ac:dyDescent="0.3">
      <c r="C2588" t="s">
        <v>797</v>
      </c>
    </row>
    <row r="2589" spans="3:3" x14ac:dyDescent="0.3">
      <c r="C2589" t="s">
        <v>883</v>
      </c>
    </row>
    <row r="2590" spans="3:3" x14ac:dyDescent="0.3">
      <c r="C2590" t="s">
        <v>831</v>
      </c>
    </row>
    <row r="2591" spans="3:3" x14ac:dyDescent="0.3">
      <c r="C2591" t="s">
        <v>832</v>
      </c>
    </row>
    <row r="2592" spans="3:3" x14ac:dyDescent="0.3">
      <c r="C2592" t="s">
        <v>884</v>
      </c>
    </row>
    <row r="2593" spans="3:3" x14ac:dyDescent="0.3">
      <c r="C2593" t="s">
        <v>72</v>
      </c>
    </row>
    <row r="2594" spans="3:3" x14ac:dyDescent="0.3">
      <c r="C2594" t="s">
        <v>50</v>
      </c>
    </row>
    <row r="2595" spans="3:3" x14ac:dyDescent="0.3">
      <c r="C2595" t="s">
        <v>803</v>
      </c>
    </row>
    <row r="2596" spans="3:3" x14ac:dyDescent="0.3">
      <c r="C2596" t="s">
        <v>804</v>
      </c>
    </row>
    <row r="2597" spans="3:3" x14ac:dyDescent="0.3">
      <c r="C2597" t="s">
        <v>51</v>
      </c>
    </row>
    <row r="2598" spans="3:3" x14ac:dyDescent="0.3">
      <c r="C2598" t="s">
        <v>85</v>
      </c>
    </row>
    <row r="2599" spans="3:3" x14ac:dyDescent="0.3">
      <c r="C2599" t="s">
        <v>885</v>
      </c>
    </row>
    <row r="2600" spans="3:3" x14ac:dyDescent="0.3">
      <c r="C2600" t="s">
        <v>886</v>
      </c>
    </row>
    <row r="2601" spans="3:3" x14ac:dyDescent="0.3">
      <c r="C2601" t="s">
        <v>87</v>
      </c>
    </row>
    <row r="2602" spans="3:3" x14ac:dyDescent="0.3">
      <c r="C2602" t="s">
        <v>887</v>
      </c>
    </row>
    <row r="2603" spans="3:3" x14ac:dyDescent="0.3">
      <c r="C2603" t="s">
        <v>888</v>
      </c>
    </row>
    <row r="2604" spans="3:3" x14ac:dyDescent="0.3">
      <c r="C2604" t="s">
        <v>89</v>
      </c>
    </row>
    <row r="2605" spans="3:3" x14ac:dyDescent="0.3">
      <c r="C2605" t="s">
        <v>889</v>
      </c>
    </row>
    <row r="2606" spans="3:3" x14ac:dyDescent="0.3">
      <c r="C2606" t="s">
        <v>890</v>
      </c>
    </row>
    <row r="2607" spans="3:3" x14ac:dyDescent="0.3">
      <c r="C2607" t="s">
        <v>91</v>
      </c>
    </row>
    <row r="2608" spans="3:3" x14ac:dyDescent="0.3">
      <c r="C2608" t="s">
        <v>891</v>
      </c>
    </row>
    <row r="2609" spans="3:3" x14ac:dyDescent="0.3">
      <c r="C2609" t="s">
        <v>892</v>
      </c>
    </row>
    <row r="2611" spans="3:3" x14ac:dyDescent="0.3">
      <c r="C2611" t="s">
        <v>797</v>
      </c>
    </row>
    <row r="2612" spans="3:3" x14ac:dyDescent="0.3">
      <c r="C2612" t="s">
        <v>893</v>
      </c>
    </row>
    <row r="2613" spans="3:3" x14ac:dyDescent="0.3">
      <c r="C2613" t="s">
        <v>799</v>
      </c>
    </row>
    <row r="2614" spans="3:3" x14ac:dyDescent="0.3">
      <c r="C2614" t="s">
        <v>800</v>
      </c>
    </row>
    <row r="2615" spans="3:3" x14ac:dyDescent="0.3">
      <c r="C2615" t="s">
        <v>894</v>
      </c>
    </row>
    <row r="2616" spans="3:3" x14ac:dyDescent="0.3">
      <c r="C2616" t="s">
        <v>895</v>
      </c>
    </row>
    <row r="2617" spans="3:3" x14ac:dyDescent="0.3">
      <c r="C2617" t="s">
        <v>50</v>
      </c>
    </row>
    <row r="2618" spans="3:3" x14ac:dyDescent="0.3">
      <c r="C2618" t="s">
        <v>803</v>
      </c>
    </row>
    <row r="2619" spans="3:3" x14ac:dyDescent="0.3">
      <c r="C2619" t="s">
        <v>804</v>
      </c>
    </row>
    <row r="2620" spans="3:3" x14ac:dyDescent="0.3">
      <c r="C2620" t="s">
        <v>51</v>
      </c>
    </row>
    <row r="2621" spans="3:3" x14ac:dyDescent="0.3">
      <c r="C2621" t="s">
        <v>96</v>
      </c>
    </row>
    <row r="2622" spans="3:3" x14ac:dyDescent="0.3">
      <c r="C2622" t="s">
        <v>896</v>
      </c>
    </row>
    <row r="2623" spans="3:3" x14ac:dyDescent="0.3">
      <c r="C2623" t="s">
        <v>806</v>
      </c>
    </row>
    <row r="2624" spans="3:3" x14ac:dyDescent="0.3">
      <c r="C2624" t="s">
        <v>97</v>
      </c>
    </row>
    <row r="2625" spans="3:3" x14ac:dyDescent="0.3">
      <c r="C2625" t="s">
        <v>897</v>
      </c>
    </row>
    <row r="2626" spans="3:3" x14ac:dyDescent="0.3">
      <c r="C2626" t="s">
        <v>57</v>
      </c>
    </row>
    <row r="2627" spans="3:3" x14ac:dyDescent="0.3">
      <c r="C2627" t="s">
        <v>82</v>
      </c>
    </row>
    <row r="2628" spans="3:3" x14ac:dyDescent="0.3">
      <c r="C2628" t="s">
        <v>898</v>
      </c>
    </row>
    <row r="2629" spans="3:3" x14ac:dyDescent="0.3">
      <c r="C2629" t="s">
        <v>60</v>
      </c>
    </row>
    <row r="2630" spans="3:3" x14ac:dyDescent="0.3">
      <c r="C2630" t="s">
        <v>83</v>
      </c>
    </row>
    <row r="2631" spans="3:3" x14ac:dyDescent="0.3">
      <c r="C2631" t="s">
        <v>899</v>
      </c>
    </row>
    <row r="2632" spans="3:3" x14ac:dyDescent="0.3">
      <c r="C2632" t="s">
        <v>810</v>
      </c>
    </row>
    <row r="2635" spans="3:3" x14ac:dyDescent="0.3">
      <c r="C2635" t="s">
        <v>299</v>
      </c>
    </row>
    <row r="2637" spans="3:3" x14ac:dyDescent="0.3">
      <c r="C2637" t="s">
        <v>900</v>
      </c>
    </row>
    <row r="2638" spans="3:3" x14ac:dyDescent="0.3">
      <c r="C2638" t="s">
        <v>901</v>
      </c>
    </row>
    <row r="2639" spans="3:3" x14ac:dyDescent="0.3">
      <c r="C2639" t="s">
        <v>902</v>
      </c>
    </row>
    <row r="2640" spans="3:3" x14ac:dyDescent="0.3">
      <c r="C2640" t="s">
        <v>903</v>
      </c>
    </row>
    <row r="2641" spans="3:3" x14ac:dyDescent="0.3">
      <c r="C2641" t="s">
        <v>904</v>
      </c>
    </row>
    <row r="2642" spans="3:3" x14ac:dyDescent="0.3">
      <c r="C2642" t="s">
        <v>905</v>
      </c>
    </row>
    <row r="2643" spans="3:3" x14ac:dyDescent="0.3">
      <c r="C2643" t="s">
        <v>906</v>
      </c>
    </row>
    <row r="2644" spans="3:3" x14ac:dyDescent="0.3">
      <c r="C2644" t="s">
        <v>907</v>
      </c>
    </row>
    <row r="2645" spans="3:3" x14ac:dyDescent="0.3">
      <c r="C2645" t="s">
        <v>908</v>
      </c>
    </row>
    <row r="2646" spans="3:3" x14ac:dyDescent="0.3">
      <c r="C2646" t="s">
        <v>909</v>
      </c>
    </row>
    <row r="2647" spans="3:3" x14ac:dyDescent="0.3">
      <c r="C2647" t="s">
        <v>910</v>
      </c>
    </row>
    <row r="2648" spans="3:3" x14ac:dyDescent="0.3">
      <c r="C2648" t="s">
        <v>911</v>
      </c>
    </row>
    <row r="2649" spans="3:3" x14ac:dyDescent="0.3">
      <c r="C2649" t="s">
        <v>912</v>
      </c>
    </row>
    <row r="2650" spans="3:3" x14ac:dyDescent="0.3">
      <c r="C2650" t="s">
        <v>913</v>
      </c>
    </row>
    <row r="2651" spans="3:3" x14ac:dyDescent="0.3">
      <c r="C2651" t="s">
        <v>914</v>
      </c>
    </row>
    <row r="2652" spans="3:3" x14ac:dyDescent="0.3">
      <c r="C2652" t="s">
        <v>915</v>
      </c>
    </row>
    <row r="2653" spans="3:3" x14ac:dyDescent="0.3">
      <c r="C2653" t="s">
        <v>916</v>
      </c>
    </row>
    <row r="2654" spans="3:3" x14ac:dyDescent="0.3">
      <c r="C2654" t="s">
        <v>917</v>
      </c>
    </row>
    <row r="2655" spans="3:3" x14ac:dyDescent="0.3">
      <c r="C2655" t="s">
        <v>918</v>
      </c>
    </row>
    <row r="2656" spans="3:3" x14ac:dyDescent="0.3">
      <c r="C2656" t="s">
        <v>919</v>
      </c>
    </row>
    <row r="2657" spans="3:3" x14ac:dyDescent="0.3">
      <c r="C2657" t="s">
        <v>920</v>
      </c>
    </row>
    <row r="2658" spans="3:3" x14ac:dyDescent="0.3">
      <c r="C2658" t="s">
        <v>921</v>
      </c>
    </row>
    <row r="2659" spans="3:3" x14ac:dyDescent="0.3">
      <c r="C2659" t="s">
        <v>922</v>
      </c>
    </row>
    <row r="2660" spans="3:3" x14ac:dyDescent="0.3">
      <c r="C2660" t="s">
        <v>923</v>
      </c>
    </row>
    <row r="2661" spans="3:3" x14ac:dyDescent="0.3">
      <c r="C2661" t="s">
        <v>924</v>
      </c>
    </row>
    <row r="2662" spans="3:3" x14ac:dyDescent="0.3">
      <c r="C2662" t="s">
        <v>925</v>
      </c>
    </row>
    <row r="2665" spans="3:3" x14ac:dyDescent="0.3">
      <c r="C2665" t="s">
        <v>300</v>
      </c>
    </row>
    <row r="2667" spans="3:3" x14ac:dyDescent="0.3">
      <c r="C2667" t="s">
        <v>926</v>
      </c>
    </row>
    <row r="2668" spans="3:3" x14ac:dyDescent="0.3">
      <c r="C2668" t="s">
        <v>927</v>
      </c>
    </row>
    <row r="2669" spans="3:3" x14ac:dyDescent="0.3">
      <c r="C2669" t="s">
        <v>928</v>
      </c>
    </row>
    <row r="2670" spans="3:3" x14ac:dyDescent="0.3">
      <c r="C2670" t="s">
        <v>51</v>
      </c>
    </row>
    <row r="2671" spans="3:3" x14ac:dyDescent="0.3">
      <c r="C2671" t="s">
        <v>929</v>
      </c>
    </row>
    <row r="2672" spans="3:3" x14ac:dyDescent="0.3">
      <c r="C2672" t="s">
        <v>930</v>
      </c>
    </row>
    <row r="2673" spans="3:3" x14ac:dyDescent="0.3">
      <c r="C2673" t="s">
        <v>931</v>
      </c>
    </row>
    <row r="2674" spans="3:3" x14ac:dyDescent="0.3">
      <c r="C2674" t="s">
        <v>932</v>
      </c>
    </row>
    <row r="2675" spans="3:3" x14ac:dyDescent="0.3">
      <c r="C2675" t="s">
        <v>933</v>
      </c>
    </row>
    <row r="2676" spans="3:3" x14ac:dyDescent="0.3">
      <c r="C2676" t="s">
        <v>934</v>
      </c>
    </row>
    <row r="2677" spans="3:3" x14ac:dyDescent="0.3">
      <c r="C2677" t="s">
        <v>935</v>
      </c>
    </row>
    <row r="2678" spans="3:3" x14ac:dyDescent="0.3">
      <c r="C2678" t="s">
        <v>936</v>
      </c>
    </row>
    <row r="2679" spans="3:3" x14ac:dyDescent="0.3">
      <c r="C2679" t="s">
        <v>937</v>
      </c>
    </row>
    <row r="2680" spans="3:3" x14ac:dyDescent="0.3">
      <c r="C2680" t="s">
        <v>938</v>
      </c>
    </row>
    <row r="2681" spans="3:3" x14ac:dyDescent="0.3">
      <c r="C2681" t="s">
        <v>939</v>
      </c>
    </row>
    <row r="2682" spans="3:3" x14ac:dyDescent="0.3">
      <c r="C2682" t="s">
        <v>940</v>
      </c>
    </row>
    <row r="2683" spans="3:3" x14ac:dyDescent="0.3">
      <c r="C2683" t="s">
        <v>941</v>
      </c>
    </row>
    <row r="2684" spans="3:3" x14ac:dyDescent="0.3">
      <c r="C2684" t="s">
        <v>942</v>
      </c>
    </row>
    <row r="2685" spans="3:3" x14ac:dyDescent="0.3">
      <c r="C2685" t="s">
        <v>943</v>
      </c>
    </row>
    <row r="2686" spans="3:3" x14ac:dyDescent="0.3">
      <c r="C2686" t="s">
        <v>944</v>
      </c>
    </row>
    <row r="2687" spans="3:3" x14ac:dyDescent="0.3">
      <c r="C2687" t="s">
        <v>945</v>
      </c>
    </row>
    <row r="2688" spans="3:3" x14ac:dyDescent="0.3">
      <c r="C2688" t="s">
        <v>946</v>
      </c>
    </row>
    <row r="2689" spans="3:3" x14ac:dyDescent="0.3">
      <c r="C2689" t="s">
        <v>947</v>
      </c>
    </row>
    <row r="2690" spans="3:3" x14ac:dyDescent="0.3">
      <c r="C2690" t="s">
        <v>948</v>
      </c>
    </row>
    <row r="2691" spans="3:3" x14ac:dyDescent="0.3">
      <c r="C2691" t="s">
        <v>949</v>
      </c>
    </row>
    <row r="2692" spans="3:3" x14ac:dyDescent="0.3">
      <c r="C2692" t="s">
        <v>950</v>
      </c>
    </row>
    <row r="2693" spans="3:3" x14ac:dyDescent="0.3">
      <c r="C2693" t="s">
        <v>951</v>
      </c>
    </row>
    <row r="2694" spans="3:3" x14ac:dyDescent="0.3">
      <c r="C2694" t="s">
        <v>952</v>
      </c>
    </row>
    <row r="2696" spans="3:3" x14ac:dyDescent="0.3">
      <c r="C2696" t="s">
        <v>926</v>
      </c>
    </row>
    <row r="2697" spans="3:3" x14ac:dyDescent="0.3">
      <c r="C2697" t="s">
        <v>953</v>
      </c>
    </row>
    <row r="2698" spans="3:3" x14ac:dyDescent="0.3">
      <c r="C2698" t="s">
        <v>928</v>
      </c>
    </row>
    <row r="2699" spans="3:3" x14ac:dyDescent="0.3">
      <c r="C2699" t="s">
        <v>51</v>
      </c>
    </row>
    <row r="2700" spans="3:3" x14ac:dyDescent="0.3">
      <c r="C2700" t="s">
        <v>954</v>
      </c>
    </row>
    <row r="2701" spans="3:3" x14ac:dyDescent="0.3">
      <c r="C2701" t="s">
        <v>955</v>
      </c>
    </row>
    <row r="2702" spans="3:3" x14ac:dyDescent="0.3">
      <c r="C2702" t="s">
        <v>931</v>
      </c>
    </row>
    <row r="2703" spans="3:3" x14ac:dyDescent="0.3">
      <c r="C2703" t="s">
        <v>956</v>
      </c>
    </row>
    <row r="2704" spans="3:3" x14ac:dyDescent="0.3">
      <c r="C2704" t="s">
        <v>957</v>
      </c>
    </row>
    <row r="2705" spans="3:3" x14ac:dyDescent="0.3">
      <c r="C2705" t="s">
        <v>958</v>
      </c>
    </row>
    <row r="2706" spans="3:3" x14ac:dyDescent="0.3">
      <c r="C2706" t="s">
        <v>959</v>
      </c>
    </row>
    <row r="2707" spans="3:3" x14ac:dyDescent="0.3">
      <c r="C2707" t="s">
        <v>960</v>
      </c>
    </row>
    <row r="2708" spans="3:3" x14ac:dyDescent="0.3">
      <c r="C2708" t="s">
        <v>961</v>
      </c>
    </row>
    <row r="2709" spans="3:3" x14ac:dyDescent="0.3">
      <c r="C2709" t="s">
        <v>962</v>
      </c>
    </row>
    <row r="2710" spans="3:3" x14ac:dyDescent="0.3">
      <c r="C2710" t="s">
        <v>963</v>
      </c>
    </row>
    <row r="2711" spans="3:3" x14ac:dyDescent="0.3">
      <c r="C2711" t="s">
        <v>964</v>
      </c>
    </row>
    <row r="2712" spans="3:3" x14ac:dyDescent="0.3">
      <c r="C2712" t="s">
        <v>965</v>
      </c>
    </row>
    <row r="2713" spans="3:3" x14ac:dyDescent="0.3">
      <c r="C2713" t="s">
        <v>966</v>
      </c>
    </row>
    <row r="2714" spans="3:3" x14ac:dyDescent="0.3">
      <c r="C2714" t="s">
        <v>967</v>
      </c>
    </row>
    <row r="2715" spans="3:3" x14ac:dyDescent="0.3">
      <c r="C2715" t="s">
        <v>968</v>
      </c>
    </row>
    <row r="2716" spans="3:3" x14ac:dyDescent="0.3">
      <c r="C2716" t="s">
        <v>969</v>
      </c>
    </row>
    <row r="2717" spans="3:3" x14ac:dyDescent="0.3">
      <c r="C2717" t="s">
        <v>970</v>
      </c>
    </row>
    <row r="2718" spans="3:3" x14ac:dyDescent="0.3">
      <c r="C2718" t="s">
        <v>971</v>
      </c>
    </row>
    <row r="2719" spans="3:3" x14ac:dyDescent="0.3">
      <c r="C2719" t="s">
        <v>948</v>
      </c>
    </row>
    <row r="2720" spans="3:3" x14ac:dyDescent="0.3">
      <c r="C2720" t="s">
        <v>972</v>
      </c>
    </row>
    <row r="2721" spans="3:3" x14ac:dyDescent="0.3">
      <c r="C2721" t="s">
        <v>973</v>
      </c>
    </row>
    <row r="2722" spans="3:3" x14ac:dyDescent="0.3">
      <c r="C2722" t="s">
        <v>951</v>
      </c>
    </row>
    <row r="2723" spans="3:3" x14ac:dyDescent="0.3">
      <c r="C2723" t="s">
        <v>974</v>
      </c>
    </row>
    <row r="2724" spans="3:3" x14ac:dyDescent="0.3">
      <c r="C2724" t="s">
        <v>975</v>
      </c>
    </row>
    <row r="2725" spans="3:3" x14ac:dyDescent="0.3">
      <c r="C2725" t="s">
        <v>976</v>
      </c>
    </row>
    <row r="2726" spans="3:3" x14ac:dyDescent="0.3">
      <c r="C2726" t="s">
        <v>977</v>
      </c>
    </row>
    <row r="2727" spans="3:3" x14ac:dyDescent="0.3">
      <c r="C2727" t="s">
        <v>978</v>
      </c>
    </row>
    <row r="2728" spans="3:3" x14ac:dyDescent="0.3">
      <c r="C2728" t="s">
        <v>979</v>
      </c>
    </row>
    <row r="2729" spans="3:3" x14ac:dyDescent="0.3">
      <c r="C2729" t="s">
        <v>980</v>
      </c>
    </row>
    <row r="2730" spans="3:3" x14ac:dyDescent="0.3">
      <c r="C2730" t="s">
        <v>981</v>
      </c>
    </row>
    <row r="2731" spans="3:3" x14ac:dyDescent="0.3">
      <c r="C2731" t="s">
        <v>982</v>
      </c>
    </row>
    <row r="2732" spans="3:3" x14ac:dyDescent="0.3">
      <c r="C2732" t="s">
        <v>983</v>
      </c>
    </row>
    <row r="2733" spans="3:3" x14ac:dyDescent="0.3">
      <c r="C2733" t="s">
        <v>984</v>
      </c>
    </row>
    <row r="2734" spans="3:3" x14ac:dyDescent="0.3">
      <c r="C2734" t="s">
        <v>985</v>
      </c>
    </row>
    <row r="2735" spans="3:3" x14ac:dyDescent="0.3">
      <c r="C2735" t="s">
        <v>986</v>
      </c>
    </row>
    <row r="2736" spans="3:3" x14ac:dyDescent="0.3">
      <c r="C2736" t="s">
        <v>987</v>
      </c>
    </row>
    <row r="2737" spans="3:3" x14ac:dyDescent="0.3">
      <c r="C2737" t="s">
        <v>988</v>
      </c>
    </row>
    <row r="2738" spans="3:3" x14ac:dyDescent="0.3">
      <c r="C2738" t="s">
        <v>989</v>
      </c>
    </row>
    <row r="2739" spans="3:3" x14ac:dyDescent="0.3">
      <c r="C2739" t="s">
        <v>990</v>
      </c>
    </row>
    <row r="2740" spans="3:3" x14ac:dyDescent="0.3">
      <c r="C2740" t="s">
        <v>991</v>
      </c>
    </row>
    <row r="2741" spans="3:3" x14ac:dyDescent="0.3">
      <c r="C2741" t="s">
        <v>992</v>
      </c>
    </row>
    <row r="2744" spans="3:3" x14ac:dyDescent="0.3">
      <c r="C2744" t="s">
        <v>301</v>
      </c>
    </row>
    <row r="2746" spans="3:3" x14ac:dyDescent="0.3">
      <c r="C2746" t="s">
        <v>993</v>
      </c>
    </row>
    <row r="2747" spans="3:3" x14ac:dyDescent="0.3">
      <c r="C2747" t="s">
        <v>994</v>
      </c>
    </row>
    <row r="2748" spans="3:3" x14ac:dyDescent="0.3">
      <c r="C2748" t="s">
        <v>995</v>
      </c>
    </row>
    <row r="2749" spans="3:3" x14ac:dyDescent="0.3">
      <c r="C2749" t="s">
        <v>996</v>
      </c>
    </row>
    <row r="2752" spans="3:3" x14ac:dyDescent="0.3">
      <c r="C2752" t="s">
        <v>302</v>
      </c>
    </row>
    <row r="2754" spans="3:3" x14ac:dyDescent="0.3">
      <c r="C2754" t="s">
        <v>997</v>
      </c>
    </row>
    <row r="2755" spans="3:3" x14ac:dyDescent="0.3">
      <c r="C2755" t="s">
        <v>998</v>
      </c>
    </row>
    <row r="2756" spans="3:3" x14ac:dyDescent="0.3">
      <c r="C2756" t="s">
        <v>999</v>
      </c>
    </row>
    <row r="2757" spans="3:3" x14ac:dyDescent="0.3">
      <c r="C2757" t="s">
        <v>1000</v>
      </c>
    </row>
    <row r="2758" spans="3:3" x14ac:dyDescent="0.3">
      <c r="C2758" t="s">
        <v>1001</v>
      </c>
    </row>
    <row r="2759" spans="3:3" x14ac:dyDescent="0.3">
      <c r="C2759" t="s">
        <v>1002</v>
      </c>
    </row>
    <row r="2760" spans="3:3" x14ac:dyDescent="0.3">
      <c r="C2760" t="s">
        <v>1003</v>
      </c>
    </row>
    <row r="2761" spans="3:3" x14ac:dyDescent="0.3">
      <c r="C2761" t="s">
        <v>1004</v>
      </c>
    </row>
    <row r="2762" spans="3:3" x14ac:dyDescent="0.3">
      <c r="C2762" t="s">
        <v>1005</v>
      </c>
    </row>
    <row r="2763" spans="3:3" x14ac:dyDescent="0.3">
      <c r="C2763" t="s">
        <v>1006</v>
      </c>
    </row>
    <row r="2766" spans="3:3" x14ac:dyDescent="0.3">
      <c r="C2766" t="s">
        <v>303</v>
      </c>
    </row>
    <row r="2768" spans="3:3" x14ac:dyDescent="0.3">
      <c r="C2768" t="s">
        <v>1007</v>
      </c>
    </row>
    <row r="2769" spans="3:3" x14ac:dyDescent="0.3">
      <c r="C2769" t="s">
        <v>1008</v>
      </c>
    </row>
    <row r="2770" spans="3:3" x14ac:dyDescent="0.3">
      <c r="C2770" t="s">
        <v>1009</v>
      </c>
    </row>
    <row r="2771" spans="3:3" x14ac:dyDescent="0.3">
      <c r="C2771" t="s">
        <v>1010</v>
      </c>
    </row>
    <row r="2772" spans="3:3" x14ac:dyDescent="0.3">
      <c r="C2772" t="s">
        <v>1011</v>
      </c>
    </row>
    <row r="2773" spans="3:3" x14ac:dyDescent="0.3">
      <c r="C2773" t="s">
        <v>1012</v>
      </c>
    </row>
    <row r="2774" spans="3:3" x14ac:dyDescent="0.3">
      <c r="C2774" t="s">
        <v>1013</v>
      </c>
    </row>
    <row r="2777" spans="3:3" x14ac:dyDescent="0.3">
      <c r="C2777" t="s">
        <v>304</v>
      </c>
    </row>
    <row r="2779" spans="3:3" x14ac:dyDescent="0.3">
      <c r="C2779" t="s">
        <v>1014</v>
      </c>
    </row>
    <row r="2780" spans="3:3" x14ac:dyDescent="0.3">
      <c r="C2780" t="s">
        <v>1015</v>
      </c>
    </row>
    <row r="2781" spans="3:3" x14ac:dyDescent="0.3">
      <c r="C2781" t="s">
        <v>1016</v>
      </c>
    </row>
    <row r="2782" spans="3:3" x14ac:dyDescent="0.3">
      <c r="C2782" t="s">
        <v>1017</v>
      </c>
    </row>
    <row r="2783" spans="3:3" x14ac:dyDescent="0.3">
      <c r="C2783" t="s">
        <v>1018</v>
      </c>
    </row>
    <row r="2786" spans="3:3" x14ac:dyDescent="0.3">
      <c r="C2786" t="s">
        <v>305</v>
      </c>
    </row>
    <row r="2788" spans="3:3" x14ac:dyDescent="0.3">
      <c r="C2788" t="s">
        <v>1019</v>
      </c>
    </row>
    <row r="2789" spans="3:3" x14ac:dyDescent="0.3">
      <c r="C2789" t="s">
        <v>1020</v>
      </c>
    </row>
    <row r="2790" spans="3:3" x14ac:dyDescent="0.3">
      <c r="C2790" t="s">
        <v>1021</v>
      </c>
    </row>
    <row r="2791" spans="3:3" x14ac:dyDescent="0.3">
      <c r="C2791" t="s">
        <v>1022</v>
      </c>
    </row>
    <row r="2792" spans="3:3" x14ac:dyDescent="0.3">
      <c r="C2792" t="s">
        <v>1023</v>
      </c>
    </row>
    <row r="2793" spans="3:3" x14ac:dyDescent="0.3">
      <c r="C2793" t="s">
        <v>1024</v>
      </c>
    </row>
    <row r="2794" spans="3:3" x14ac:dyDescent="0.3">
      <c r="C2794" t="s">
        <v>1025</v>
      </c>
    </row>
    <row r="2795" spans="3:3" x14ac:dyDescent="0.3">
      <c r="C2795" t="s">
        <v>1026</v>
      </c>
    </row>
    <row r="2796" spans="3:3" x14ac:dyDescent="0.3">
      <c r="C2796" t="s">
        <v>1027</v>
      </c>
    </row>
    <row r="2797" spans="3:3" x14ac:dyDescent="0.3">
      <c r="C2797" t="s">
        <v>1028</v>
      </c>
    </row>
    <row r="2798" spans="3:3" x14ac:dyDescent="0.3">
      <c r="C2798" t="s">
        <v>1029</v>
      </c>
    </row>
    <row r="2799" spans="3:3" x14ac:dyDescent="0.3">
      <c r="C2799" t="s">
        <v>1030</v>
      </c>
    </row>
    <row r="2800" spans="3:3" x14ac:dyDescent="0.3">
      <c r="C2800" t="s">
        <v>1031</v>
      </c>
    </row>
    <row r="2801" spans="3:3" x14ac:dyDescent="0.3">
      <c r="C2801" t="s">
        <v>1032</v>
      </c>
    </row>
    <row r="2802" spans="3:3" x14ac:dyDescent="0.3">
      <c r="C2802" t="s">
        <v>1033</v>
      </c>
    </row>
    <row r="2803" spans="3:3" x14ac:dyDescent="0.3">
      <c r="C2803" t="s">
        <v>1034</v>
      </c>
    </row>
    <row r="2804" spans="3:3" x14ac:dyDescent="0.3">
      <c r="C2804" t="s">
        <v>1035</v>
      </c>
    </row>
    <row r="2805" spans="3:3" x14ac:dyDescent="0.3">
      <c r="C2805" t="s">
        <v>1036</v>
      </c>
    </row>
    <row r="2808" spans="3:3" x14ac:dyDescent="0.3">
      <c r="C2808" t="s">
        <v>306</v>
      </c>
    </row>
    <row r="2810" spans="3:3" x14ac:dyDescent="0.3">
      <c r="C2810" t="s">
        <v>1037</v>
      </c>
    </row>
    <row r="2811" spans="3:3" x14ac:dyDescent="0.3">
      <c r="C2811" t="s">
        <v>1038</v>
      </c>
    </row>
    <row r="2812" spans="3:3" x14ac:dyDescent="0.3">
      <c r="C2812" t="s">
        <v>1039</v>
      </c>
    </row>
    <row r="2813" spans="3:3" x14ac:dyDescent="0.3">
      <c r="C2813" t="s">
        <v>1040</v>
      </c>
    </row>
    <row r="2814" spans="3:3" x14ac:dyDescent="0.3">
      <c r="C2814" t="s">
        <v>1041</v>
      </c>
    </row>
    <row r="2815" spans="3:3" x14ac:dyDescent="0.3">
      <c r="C2815" t="s">
        <v>1042</v>
      </c>
    </row>
    <row r="2818" spans="3:3" x14ac:dyDescent="0.3">
      <c r="C2818" t="s">
        <v>307</v>
      </c>
    </row>
    <row r="2820" spans="3:3" x14ac:dyDescent="0.3">
      <c r="C2820" t="s">
        <v>1043</v>
      </c>
    </row>
    <row r="2821" spans="3:3" x14ac:dyDescent="0.3">
      <c r="C2821" t="s">
        <v>1044</v>
      </c>
    </row>
    <row r="2822" spans="3:3" x14ac:dyDescent="0.3">
      <c r="C2822" t="s">
        <v>1045</v>
      </c>
    </row>
    <row r="2823" spans="3:3" x14ac:dyDescent="0.3">
      <c r="C2823" t="s">
        <v>1046</v>
      </c>
    </row>
    <row r="2824" spans="3:3" x14ac:dyDescent="0.3">
      <c r="C2824" t="s">
        <v>1047</v>
      </c>
    </row>
    <row r="2827" spans="3:3" x14ac:dyDescent="0.3">
      <c r="C2827" t="s">
        <v>308</v>
      </c>
    </row>
    <row r="2829" spans="3:3" x14ac:dyDescent="0.3">
      <c r="C2829" t="s">
        <v>1048</v>
      </c>
    </row>
    <row r="2830" spans="3:3" x14ac:dyDescent="0.3">
      <c r="C2830" t="s">
        <v>1049</v>
      </c>
    </row>
    <row r="2831" spans="3:3" x14ac:dyDescent="0.3">
      <c r="C2831" t="s">
        <v>1050</v>
      </c>
    </row>
    <row r="2832" spans="3:3" x14ac:dyDescent="0.3">
      <c r="C2832" t="s">
        <v>1051</v>
      </c>
    </row>
    <row r="2833" spans="3:3" x14ac:dyDescent="0.3">
      <c r="C2833" t="s">
        <v>1052</v>
      </c>
    </row>
    <row r="2834" spans="3:3" x14ac:dyDescent="0.3">
      <c r="C2834" t="s">
        <v>1053</v>
      </c>
    </row>
    <row r="2835" spans="3:3" x14ac:dyDescent="0.3">
      <c r="C2835" t="s">
        <v>1054</v>
      </c>
    </row>
    <row r="2836" spans="3:3" x14ac:dyDescent="0.3">
      <c r="C2836" t="s">
        <v>1055</v>
      </c>
    </row>
    <row r="2837" spans="3:3" x14ac:dyDescent="0.3">
      <c r="C2837" t="s">
        <v>1056</v>
      </c>
    </row>
    <row r="2838" spans="3:3" x14ac:dyDescent="0.3">
      <c r="C2838" t="s">
        <v>1057</v>
      </c>
    </row>
    <row r="2839" spans="3:3" x14ac:dyDescent="0.3">
      <c r="C2839" t="s">
        <v>1058</v>
      </c>
    </row>
    <row r="2840" spans="3:3" x14ac:dyDescent="0.3">
      <c r="C2840" t="s">
        <v>1059</v>
      </c>
    </row>
    <row r="2841" spans="3:3" x14ac:dyDescent="0.3">
      <c r="C2841" t="s">
        <v>1060</v>
      </c>
    </row>
    <row r="2842" spans="3:3" x14ac:dyDescent="0.3">
      <c r="C2842" t="s">
        <v>1061</v>
      </c>
    </row>
    <row r="2843" spans="3:3" x14ac:dyDescent="0.3">
      <c r="C2843" t="s">
        <v>1062</v>
      </c>
    </row>
    <row r="2844" spans="3:3" x14ac:dyDescent="0.3">
      <c r="C2844" t="s">
        <v>1063</v>
      </c>
    </row>
    <row r="2845" spans="3:3" x14ac:dyDescent="0.3">
      <c r="C2845" t="s">
        <v>1064</v>
      </c>
    </row>
    <row r="2847" spans="3:3" x14ac:dyDescent="0.3">
      <c r="C2847" t="s">
        <v>1048</v>
      </c>
    </row>
    <row r="2848" spans="3:3" x14ac:dyDescent="0.3">
      <c r="C2848" t="s">
        <v>1065</v>
      </c>
    </row>
    <row r="2849" spans="3:3" x14ac:dyDescent="0.3">
      <c r="C2849" t="s">
        <v>1066</v>
      </c>
    </row>
    <row r="2850" spans="3:3" x14ac:dyDescent="0.3">
      <c r="C2850" t="s">
        <v>1067</v>
      </c>
    </row>
    <row r="2851" spans="3:3" x14ac:dyDescent="0.3">
      <c r="C2851" t="s">
        <v>1052</v>
      </c>
    </row>
    <row r="2852" spans="3:3" x14ac:dyDescent="0.3">
      <c r="C2852" t="s">
        <v>1068</v>
      </c>
    </row>
    <row r="2853" spans="3:3" x14ac:dyDescent="0.3">
      <c r="C2853" t="s">
        <v>1054</v>
      </c>
    </row>
    <row r="2854" spans="3:3" x14ac:dyDescent="0.3">
      <c r="C2854" t="s">
        <v>1055</v>
      </c>
    </row>
    <row r="2855" spans="3:3" x14ac:dyDescent="0.3">
      <c r="C2855" t="s">
        <v>1056</v>
      </c>
    </row>
    <row r="2856" spans="3:3" x14ac:dyDescent="0.3">
      <c r="C2856" t="s">
        <v>1057</v>
      </c>
    </row>
    <row r="2857" spans="3:3" x14ac:dyDescent="0.3">
      <c r="C2857" t="s">
        <v>1069</v>
      </c>
    </row>
    <row r="2858" spans="3:3" x14ac:dyDescent="0.3">
      <c r="C2858" t="s">
        <v>1059</v>
      </c>
    </row>
    <row r="2859" spans="3:3" x14ac:dyDescent="0.3">
      <c r="C2859" t="s">
        <v>1060</v>
      </c>
    </row>
    <row r="2860" spans="3:3" x14ac:dyDescent="0.3">
      <c r="C2860" t="s">
        <v>1061</v>
      </c>
    </row>
    <row r="2861" spans="3:3" x14ac:dyDescent="0.3">
      <c r="C2861" t="s">
        <v>1062</v>
      </c>
    </row>
    <row r="2862" spans="3:3" x14ac:dyDescent="0.3">
      <c r="C2862" t="s">
        <v>1063</v>
      </c>
    </row>
    <row r="2863" spans="3:3" x14ac:dyDescent="0.3">
      <c r="C2863" t="s">
        <v>1064</v>
      </c>
    </row>
    <row r="2865" spans="3:3" x14ac:dyDescent="0.3">
      <c r="C2865" t="s">
        <v>1048</v>
      </c>
    </row>
    <row r="2866" spans="3:3" x14ac:dyDescent="0.3">
      <c r="C2866" t="s">
        <v>1070</v>
      </c>
    </row>
    <row r="2867" spans="3:3" x14ac:dyDescent="0.3">
      <c r="C2867" t="s">
        <v>1071</v>
      </c>
    </row>
    <row r="2868" spans="3:3" x14ac:dyDescent="0.3">
      <c r="C2868" t="s">
        <v>1067</v>
      </c>
    </row>
    <row r="2869" spans="3:3" x14ac:dyDescent="0.3">
      <c r="C2869" t="s">
        <v>1052</v>
      </c>
    </row>
    <row r="2870" spans="3:3" x14ac:dyDescent="0.3">
      <c r="C2870" t="s">
        <v>1068</v>
      </c>
    </row>
    <row r="2871" spans="3:3" x14ac:dyDescent="0.3">
      <c r="C2871" t="s">
        <v>1054</v>
      </c>
    </row>
    <row r="2872" spans="3:3" x14ac:dyDescent="0.3">
      <c r="C2872" t="s">
        <v>1055</v>
      </c>
    </row>
    <row r="2873" spans="3:3" x14ac:dyDescent="0.3">
      <c r="C2873" t="s">
        <v>1056</v>
      </c>
    </row>
    <row r="2874" spans="3:3" x14ac:dyDescent="0.3">
      <c r="C2874" t="s">
        <v>1057</v>
      </c>
    </row>
    <row r="2875" spans="3:3" x14ac:dyDescent="0.3">
      <c r="C2875" t="s">
        <v>1069</v>
      </c>
    </row>
    <row r="2876" spans="3:3" x14ac:dyDescent="0.3">
      <c r="C2876" t="s">
        <v>1059</v>
      </c>
    </row>
    <row r="2877" spans="3:3" x14ac:dyDescent="0.3">
      <c r="C2877" t="s">
        <v>1060</v>
      </c>
    </row>
    <row r="2878" spans="3:3" x14ac:dyDescent="0.3">
      <c r="C2878" t="s">
        <v>1061</v>
      </c>
    </row>
    <row r="2879" spans="3:3" x14ac:dyDescent="0.3">
      <c r="C2879" t="s">
        <v>1062</v>
      </c>
    </row>
    <row r="2880" spans="3:3" x14ac:dyDescent="0.3">
      <c r="C2880" t="s">
        <v>1063</v>
      </c>
    </row>
    <row r="2881" spans="3:3" x14ac:dyDescent="0.3">
      <c r="C2881" t="s">
        <v>1064</v>
      </c>
    </row>
    <row r="2884" spans="3:3" x14ac:dyDescent="0.3">
      <c r="C2884" t="s">
        <v>309</v>
      </c>
    </row>
    <row r="2886" spans="3:3" x14ac:dyDescent="0.3">
      <c r="C2886" t="s">
        <v>1072</v>
      </c>
    </row>
    <row r="2887" spans="3:3" x14ac:dyDescent="0.3">
      <c r="C2887" t="s">
        <v>1073</v>
      </c>
    </row>
    <row r="2888" spans="3:3" x14ac:dyDescent="0.3">
      <c r="C2888" t="s">
        <v>1050</v>
      </c>
    </row>
    <row r="2889" spans="3:3" x14ac:dyDescent="0.3">
      <c r="C2889" t="s">
        <v>1074</v>
      </c>
    </row>
    <row r="2890" spans="3:3" x14ac:dyDescent="0.3">
      <c r="C2890" t="s">
        <v>1075</v>
      </c>
    </row>
    <row r="2891" spans="3:3" x14ac:dyDescent="0.3">
      <c r="C2891" t="s">
        <v>1076</v>
      </c>
    </row>
    <row r="2892" spans="3:3" x14ac:dyDescent="0.3">
      <c r="C2892" t="s">
        <v>1077</v>
      </c>
    </row>
    <row r="2893" spans="3:3" x14ac:dyDescent="0.3">
      <c r="C2893" t="s">
        <v>1078</v>
      </c>
    </row>
    <row r="2894" spans="3:3" x14ac:dyDescent="0.3">
      <c r="C2894" t="s">
        <v>1079</v>
      </c>
    </row>
    <row r="2895" spans="3:3" x14ac:dyDescent="0.3">
      <c r="C2895" t="s">
        <v>1080</v>
      </c>
    </row>
    <row r="2896" spans="3:3" x14ac:dyDescent="0.3">
      <c r="C2896" t="s">
        <v>1081</v>
      </c>
    </row>
    <row r="2897" spans="3:3" x14ac:dyDescent="0.3">
      <c r="C2897" t="s">
        <v>1082</v>
      </c>
    </row>
    <row r="2898" spans="3:3" x14ac:dyDescent="0.3">
      <c r="C2898" t="s">
        <v>1083</v>
      </c>
    </row>
    <row r="2899" spans="3:3" x14ac:dyDescent="0.3">
      <c r="C2899" t="s">
        <v>1084</v>
      </c>
    </row>
    <row r="2901" spans="3:3" x14ac:dyDescent="0.3">
      <c r="C2901" t="s">
        <v>1072</v>
      </c>
    </row>
    <row r="2902" spans="3:3" x14ac:dyDescent="0.3">
      <c r="C2902" t="s">
        <v>1085</v>
      </c>
    </row>
    <row r="2903" spans="3:3" x14ac:dyDescent="0.3">
      <c r="C2903" t="s">
        <v>1066</v>
      </c>
    </row>
    <row r="2904" spans="3:3" x14ac:dyDescent="0.3">
      <c r="C2904" t="s">
        <v>1086</v>
      </c>
    </row>
    <row r="2905" spans="3:3" x14ac:dyDescent="0.3">
      <c r="C2905" t="s">
        <v>1075</v>
      </c>
    </row>
    <row r="2906" spans="3:3" x14ac:dyDescent="0.3">
      <c r="C2906" t="s">
        <v>1076</v>
      </c>
    </row>
    <row r="2907" spans="3:3" x14ac:dyDescent="0.3">
      <c r="C2907" t="s">
        <v>1077</v>
      </c>
    </row>
    <row r="2908" spans="3:3" x14ac:dyDescent="0.3">
      <c r="C2908" t="s">
        <v>1078</v>
      </c>
    </row>
    <row r="2909" spans="3:3" x14ac:dyDescent="0.3">
      <c r="C2909" t="s">
        <v>1079</v>
      </c>
    </row>
    <row r="2910" spans="3:3" x14ac:dyDescent="0.3">
      <c r="C2910" t="s">
        <v>1080</v>
      </c>
    </row>
    <row r="2911" spans="3:3" x14ac:dyDescent="0.3">
      <c r="C2911" t="s">
        <v>1081</v>
      </c>
    </row>
    <row r="2912" spans="3:3" x14ac:dyDescent="0.3">
      <c r="C2912" t="s">
        <v>1082</v>
      </c>
    </row>
    <row r="2913" spans="3:3" x14ac:dyDescent="0.3">
      <c r="C2913" t="s">
        <v>1083</v>
      </c>
    </row>
    <row r="2914" spans="3:3" x14ac:dyDescent="0.3">
      <c r="C2914" t="s">
        <v>1084</v>
      </c>
    </row>
    <row r="2916" spans="3:3" x14ac:dyDescent="0.3">
      <c r="C2916" t="s">
        <v>1072</v>
      </c>
    </row>
    <row r="2917" spans="3:3" x14ac:dyDescent="0.3">
      <c r="C2917" t="s">
        <v>1087</v>
      </c>
    </row>
    <row r="2918" spans="3:3" x14ac:dyDescent="0.3">
      <c r="C2918" t="s">
        <v>1071</v>
      </c>
    </row>
    <row r="2919" spans="3:3" x14ac:dyDescent="0.3">
      <c r="C2919" t="s">
        <v>1086</v>
      </c>
    </row>
    <row r="2920" spans="3:3" x14ac:dyDescent="0.3">
      <c r="C2920" t="s">
        <v>1075</v>
      </c>
    </row>
    <row r="2921" spans="3:3" x14ac:dyDescent="0.3">
      <c r="C2921" t="s">
        <v>1076</v>
      </c>
    </row>
    <row r="2922" spans="3:3" x14ac:dyDescent="0.3">
      <c r="C2922" t="s">
        <v>1077</v>
      </c>
    </row>
    <row r="2923" spans="3:3" x14ac:dyDescent="0.3">
      <c r="C2923" t="s">
        <v>1078</v>
      </c>
    </row>
    <row r="2924" spans="3:3" x14ac:dyDescent="0.3">
      <c r="C2924" t="s">
        <v>1079</v>
      </c>
    </row>
    <row r="2925" spans="3:3" x14ac:dyDescent="0.3">
      <c r="C2925" t="s">
        <v>1080</v>
      </c>
    </row>
    <row r="2926" spans="3:3" x14ac:dyDescent="0.3">
      <c r="C2926" t="s">
        <v>1081</v>
      </c>
    </row>
    <row r="2927" spans="3:3" x14ac:dyDescent="0.3">
      <c r="C2927" t="s">
        <v>1082</v>
      </c>
    </row>
    <row r="2928" spans="3:3" x14ac:dyDescent="0.3">
      <c r="C2928" t="s">
        <v>1083</v>
      </c>
    </row>
    <row r="2929" spans="3:3" x14ac:dyDescent="0.3">
      <c r="C2929" t="s">
        <v>1084</v>
      </c>
    </row>
    <row r="2932" spans="3:3" x14ac:dyDescent="0.3">
      <c r="C2932" t="s">
        <v>310</v>
      </c>
    </row>
    <row r="2934" spans="3:3" x14ac:dyDescent="0.3">
      <c r="C2934" t="s">
        <v>1088</v>
      </c>
    </row>
    <row r="2935" spans="3:3" x14ac:dyDescent="0.3">
      <c r="C2935" t="s">
        <v>1089</v>
      </c>
    </row>
    <row r="2936" spans="3:3" x14ac:dyDescent="0.3">
      <c r="C2936" t="s">
        <v>1050</v>
      </c>
    </row>
    <row r="2937" spans="3:3" x14ac:dyDescent="0.3">
      <c r="C2937" t="s">
        <v>1090</v>
      </c>
    </row>
    <row r="2938" spans="3:3" x14ac:dyDescent="0.3">
      <c r="C2938" t="s">
        <v>1091</v>
      </c>
    </row>
    <row r="2939" spans="3:3" x14ac:dyDescent="0.3">
      <c r="C2939" t="s">
        <v>1092</v>
      </c>
    </row>
    <row r="2940" spans="3:3" x14ac:dyDescent="0.3">
      <c r="C2940" t="s">
        <v>1093</v>
      </c>
    </row>
    <row r="2941" spans="3:3" x14ac:dyDescent="0.3">
      <c r="C2941" t="s">
        <v>1078</v>
      </c>
    </row>
    <row r="2942" spans="3:3" x14ac:dyDescent="0.3">
      <c r="C2942" t="s">
        <v>1094</v>
      </c>
    </row>
    <row r="2943" spans="3:3" x14ac:dyDescent="0.3">
      <c r="C2943" t="s">
        <v>1080</v>
      </c>
    </row>
    <row r="2944" spans="3:3" x14ac:dyDescent="0.3">
      <c r="C2944" t="s">
        <v>1095</v>
      </c>
    </row>
    <row r="2945" spans="3:3" x14ac:dyDescent="0.3">
      <c r="C2945" t="s">
        <v>1096</v>
      </c>
    </row>
    <row r="2948" spans="3:3" x14ac:dyDescent="0.3">
      <c r="C2948" t="s">
        <v>311</v>
      </c>
    </row>
    <row r="2950" spans="3:3" x14ac:dyDescent="0.3">
      <c r="C2950" t="s">
        <v>1097</v>
      </c>
    </row>
    <row r="2951" spans="3:3" x14ac:dyDescent="0.3">
      <c r="C2951" t="s">
        <v>1098</v>
      </c>
    </row>
    <row r="2952" spans="3:3" x14ac:dyDescent="0.3">
      <c r="C2952" t="s">
        <v>1050</v>
      </c>
    </row>
    <row r="2953" spans="3:3" x14ac:dyDescent="0.3">
      <c r="C2953" t="s">
        <v>1099</v>
      </c>
    </row>
    <row r="2954" spans="3:3" x14ac:dyDescent="0.3">
      <c r="C2954" t="s">
        <v>1100</v>
      </c>
    </row>
    <row r="2955" spans="3:3" x14ac:dyDescent="0.3">
      <c r="C2955" t="s">
        <v>1101</v>
      </c>
    </row>
    <row r="2956" spans="3:3" x14ac:dyDescent="0.3">
      <c r="C2956" t="s">
        <v>1102</v>
      </c>
    </row>
    <row r="2957" spans="3:3" x14ac:dyDescent="0.3">
      <c r="C2957" t="s">
        <v>1103</v>
      </c>
    </row>
    <row r="2958" spans="3:3" x14ac:dyDescent="0.3">
      <c r="C2958" t="s">
        <v>1104</v>
      </c>
    </row>
    <row r="2959" spans="3:3" x14ac:dyDescent="0.3">
      <c r="C2959" t="s">
        <v>1105</v>
      </c>
    </row>
    <row r="2960" spans="3:3" x14ac:dyDescent="0.3">
      <c r="C2960" t="s">
        <v>1106</v>
      </c>
    </row>
    <row r="2961" spans="3:3" x14ac:dyDescent="0.3">
      <c r="C2961" t="s">
        <v>1107</v>
      </c>
    </row>
    <row r="2962" spans="3:3" x14ac:dyDescent="0.3">
      <c r="C2962" t="s">
        <v>1108</v>
      </c>
    </row>
    <row r="2964" spans="3:3" x14ac:dyDescent="0.3">
      <c r="C2964" t="s">
        <v>1097</v>
      </c>
    </row>
    <row r="2965" spans="3:3" x14ac:dyDescent="0.3">
      <c r="C2965" t="s">
        <v>1109</v>
      </c>
    </row>
    <row r="2966" spans="3:3" x14ac:dyDescent="0.3">
      <c r="C2966" t="s">
        <v>1066</v>
      </c>
    </row>
    <row r="2967" spans="3:3" x14ac:dyDescent="0.3">
      <c r="C2967" t="s">
        <v>1099</v>
      </c>
    </row>
    <row r="2968" spans="3:3" x14ac:dyDescent="0.3">
      <c r="C2968" t="s">
        <v>1100</v>
      </c>
    </row>
    <row r="2969" spans="3:3" x14ac:dyDescent="0.3">
      <c r="C2969" t="s">
        <v>1101</v>
      </c>
    </row>
    <row r="2970" spans="3:3" x14ac:dyDescent="0.3">
      <c r="C2970" t="s">
        <v>1102</v>
      </c>
    </row>
    <row r="2971" spans="3:3" x14ac:dyDescent="0.3">
      <c r="C2971" t="s">
        <v>1103</v>
      </c>
    </row>
    <row r="2972" spans="3:3" x14ac:dyDescent="0.3">
      <c r="C2972" t="s">
        <v>1104</v>
      </c>
    </row>
    <row r="2973" spans="3:3" x14ac:dyDescent="0.3">
      <c r="C2973" t="s">
        <v>1105</v>
      </c>
    </row>
    <row r="2974" spans="3:3" x14ac:dyDescent="0.3">
      <c r="C2974" t="s">
        <v>1106</v>
      </c>
    </row>
    <row r="2975" spans="3:3" x14ac:dyDescent="0.3">
      <c r="C2975" t="s">
        <v>1107</v>
      </c>
    </row>
    <row r="2976" spans="3:3" x14ac:dyDescent="0.3">
      <c r="C2976" t="s">
        <v>1108</v>
      </c>
    </row>
    <row r="2978" spans="3:3" x14ac:dyDescent="0.3">
      <c r="C2978" t="s">
        <v>1097</v>
      </c>
    </row>
    <row r="2979" spans="3:3" x14ac:dyDescent="0.3">
      <c r="C2979" t="s">
        <v>1110</v>
      </c>
    </row>
    <row r="2980" spans="3:3" x14ac:dyDescent="0.3">
      <c r="C2980" t="s">
        <v>1071</v>
      </c>
    </row>
    <row r="2981" spans="3:3" x14ac:dyDescent="0.3">
      <c r="C2981" t="s">
        <v>1099</v>
      </c>
    </row>
    <row r="2982" spans="3:3" x14ac:dyDescent="0.3">
      <c r="C2982" t="s">
        <v>1100</v>
      </c>
    </row>
    <row r="2983" spans="3:3" x14ac:dyDescent="0.3">
      <c r="C2983" t="s">
        <v>1101</v>
      </c>
    </row>
    <row r="2984" spans="3:3" x14ac:dyDescent="0.3">
      <c r="C2984" t="s">
        <v>1102</v>
      </c>
    </row>
    <row r="2985" spans="3:3" x14ac:dyDescent="0.3">
      <c r="C2985" t="s">
        <v>1103</v>
      </c>
    </row>
    <row r="2986" spans="3:3" x14ac:dyDescent="0.3">
      <c r="C2986" t="s">
        <v>1104</v>
      </c>
    </row>
    <row r="2987" spans="3:3" x14ac:dyDescent="0.3">
      <c r="C2987" t="s">
        <v>1105</v>
      </c>
    </row>
    <row r="2988" spans="3:3" x14ac:dyDescent="0.3">
      <c r="C2988" t="s">
        <v>1106</v>
      </c>
    </row>
    <row r="2989" spans="3:3" x14ac:dyDescent="0.3">
      <c r="C2989" t="s">
        <v>1107</v>
      </c>
    </row>
    <row r="2990" spans="3:3" x14ac:dyDescent="0.3">
      <c r="C2990" t="s">
        <v>1108</v>
      </c>
    </row>
    <row r="2992" spans="3:3" x14ac:dyDescent="0.3">
      <c r="C2992" t="s">
        <v>1097</v>
      </c>
    </row>
    <row r="2993" spans="3:3" x14ac:dyDescent="0.3">
      <c r="C2993" t="s">
        <v>1111</v>
      </c>
    </row>
    <row r="2994" spans="3:3" x14ac:dyDescent="0.3">
      <c r="C2994" t="s">
        <v>1112</v>
      </c>
    </row>
    <row r="2995" spans="3:3" x14ac:dyDescent="0.3">
      <c r="C2995" t="s">
        <v>1099</v>
      </c>
    </row>
    <row r="2996" spans="3:3" x14ac:dyDescent="0.3">
      <c r="C2996" t="s">
        <v>1100</v>
      </c>
    </row>
    <row r="2997" spans="3:3" x14ac:dyDescent="0.3">
      <c r="C2997" t="s">
        <v>1101</v>
      </c>
    </row>
    <row r="2998" spans="3:3" x14ac:dyDescent="0.3">
      <c r="C2998" t="s">
        <v>1102</v>
      </c>
    </row>
    <row r="2999" spans="3:3" x14ac:dyDescent="0.3">
      <c r="C2999" t="s">
        <v>1103</v>
      </c>
    </row>
    <row r="3000" spans="3:3" x14ac:dyDescent="0.3">
      <c r="C3000" t="s">
        <v>1104</v>
      </c>
    </row>
    <row r="3001" spans="3:3" x14ac:dyDescent="0.3">
      <c r="C3001" t="s">
        <v>1105</v>
      </c>
    </row>
    <row r="3002" spans="3:3" x14ac:dyDescent="0.3">
      <c r="C3002" t="s">
        <v>1106</v>
      </c>
    </row>
    <row r="3003" spans="3:3" x14ac:dyDescent="0.3">
      <c r="C3003" t="s">
        <v>1107</v>
      </c>
    </row>
    <row r="3004" spans="3:3" x14ac:dyDescent="0.3">
      <c r="C3004" t="s">
        <v>1108</v>
      </c>
    </row>
    <row r="3006" spans="3:3" x14ac:dyDescent="0.3">
      <c r="C3006" t="s">
        <v>1097</v>
      </c>
    </row>
    <row r="3007" spans="3:3" x14ac:dyDescent="0.3">
      <c r="C3007" t="s">
        <v>1113</v>
      </c>
    </row>
    <row r="3008" spans="3:3" x14ac:dyDescent="0.3">
      <c r="C3008" t="s">
        <v>1114</v>
      </c>
    </row>
    <row r="3009" spans="3:3" x14ac:dyDescent="0.3">
      <c r="C3009" t="s">
        <v>1099</v>
      </c>
    </row>
    <row r="3010" spans="3:3" x14ac:dyDescent="0.3">
      <c r="C3010" t="s">
        <v>1100</v>
      </c>
    </row>
    <row r="3011" spans="3:3" x14ac:dyDescent="0.3">
      <c r="C3011" t="s">
        <v>1101</v>
      </c>
    </row>
    <row r="3012" spans="3:3" x14ac:dyDescent="0.3">
      <c r="C3012" t="s">
        <v>1102</v>
      </c>
    </row>
    <row r="3013" spans="3:3" x14ac:dyDescent="0.3">
      <c r="C3013" t="s">
        <v>1103</v>
      </c>
    </row>
    <row r="3014" spans="3:3" x14ac:dyDescent="0.3">
      <c r="C3014" t="s">
        <v>1104</v>
      </c>
    </row>
    <row r="3015" spans="3:3" x14ac:dyDescent="0.3">
      <c r="C3015" t="s">
        <v>1105</v>
      </c>
    </row>
    <row r="3016" spans="3:3" x14ac:dyDescent="0.3">
      <c r="C3016" t="s">
        <v>1106</v>
      </c>
    </row>
    <row r="3017" spans="3:3" x14ac:dyDescent="0.3">
      <c r="C3017" t="s">
        <v>1107</v>
      </c>
    </row>
    <row r="3018" spans="3:3" x14ac:dyDescent="0.3">
      <c r="C3018" t="s">
        <v>1108</v>
      </c>
    </row>
    <row r="3020" spans="3:3" x14ac:dyDescent="0.3">
      <c r="C3020" t="s">
        <v>1097</v>
      </c>
    </row>
    <row r="3021" spans="3:3" x14ac:dyDescent="0.3">
      <c r="C3021" t="s">
        <v>1115</v>
      </c>
    </row>
    <row r="3022" spans="3:3" x14ac:dyDescent="0.3">
      <c r="C3022" t="s">
        <v>1116</v>
      </c>
    </row>
    <row r="3023" spans="3:3" x14ac:dyDescent="0.3">
      <c r="C3023" t="s">
        <v>1099</v>
      </c>
    </row>
    <row r="3024" spans="3:3" x14ac:dyDescent="0.3">
      <c r="C3024" t="s">
        <v>1100</v>
      </c>
    </row>
    <row r="3025" spans="3:3" x14ac:dyDescent="0.3">
      <c r="C3025" t="s">
        <v>1101</v>
      </c>
    </row>
    <row r="3026" spans="3:3" x14ac:dyDescent="0.3">
      <c r="C3026" t="s">
        <v>1102</v>
      </c>
    </row>
    <row r="3027" spans="3:3" x14ac:dyDescent="0.3">
      <c r="C3027" t="s">
        <v>1103</v>
      </c>
    </row>
    <row r="3028" spans="3:3" x14ac:dyDescent="0.3">
      <c r="C3028" t="s">
        <v>1104</v>
      </c>
    </row>
    <row r="3029" spans="3:3" x14ac:dyDescent="0.3">
      <c r="C3029" t="s">
        <v>1105</v>
      </c>
    </row>
    <row r="3030" spans="3:3" x14ac:dyDescent="0.3">
      <c r="C3030" t="s">
        <v>1106</v>
      </c>
    </row>
    <row r="3031" spans="3:3" x14ac:dyDescent="0.3">
      <c r="C3031" t="s">
        <v>1107</v>
      </c>
    </row>
    <row r="3032" spans="3:3" x14ac:dyDescent="0.3">
      <c r="C3032" t="s">
        <v>1108</v>
      </c>
    </row>
    <row r="3034" spans="3:3" x14ac:dyDescent="0.3">
      <c r="C3034" t="s">
        <v>1097</v>
      </c>
    </row>
    <row r="3035" spans="3:3" x14ac:dyDescent="0.3">
      <c r="C3035" t="s">
        <v>1117</v>
      </c>
    </row>
    <row r="3036" spans="3:3" x14ac:dyDescent="0.3">
      <c r="C3036" t="s">
        <v>1118</v>
      </c>
    </row>
    <row r="3037" spans="3:3" x14ac:dyDescent="0.3">
      <c r="C3037" t="s">
        <v>1099</v>
      </c>
    </row>
    <row r="3038" spans="3:3" x14ac:dyDescent="0.3">
      <c r="C3038" t="s">
        <v>1100</v>
      </c>
    </row>
    <row r="3039" spans="3:3" x14ac:dyDescent="0.3">
      <c r="C3039" t="s">
        <v>1101</v>
      </c>
    </row>
    <row r="3040" spans="3:3" x14ac:dyDescent="0.3">
      <c r="C3040" t="s">
        <v>1102</v>
      </c>
    </row>
    <row r="3041" spans="3:3" x14ac:dyDescent="0.3">
      <c r="C3041" t="s">
        <v>1103</v>
      </c>
    </row>
    <row r="3042" spans="3:3" x14ac:dyDescent="0.3">
      <c r="C3042" t="s">
        <v>1104</v>
      </c>
    </row>
    <row r="3043" spans="3:3" x14ac:dyDescent="0.3">
      <c r="C3043" t="s">
        <v>1105</v>
      </c>
    </row>
    <row r="3044" spans="3:3" x14ac:dyDescent="0.3">
      <c r="C3044" t="s">
        <v>1106</v>
      </c>
    </row>
    <row r="3045" spans="3:3" x14ac:dyDescent="0.3">
      <c r="C3045" t="s">
        <v>1107</v>
      </c>
    </row>
    <row r="3046" spans="3:3" x14ac:dyDescent="0.3">
      <c r="C3046" t="s">
        <v>1108</v>
      </c>
    </row>
    <row r="3049" spans="3:3" x14ac:dyDescent="0.3">
      <c r="C3049" t="s">
        <v>312</v>
      </c>
    </row>
    <row r="3051" spans="3:3" x14ac:dyDescent="0.3">
      <c r="C3051" t="s">
        <v>1119</v>
      </c>
    </row>
    <row r="3052" spans="3:3" x14ac:dyDescent="0.3">
      <c r="C3052" t="s">
        <v>1120</v>
      </c>
    </row>
    <row r="3053" spans="3:3" x14ac:dyDescent="0.3">
      <c r="C3053" t="s">
        <v>1121</v>
      </c>
    </row>
    <row r="3054" spans="3:3" x14ac:dyDescent="0.3">
      <c r="C3054" t="s">
        <v>1122</v>
      </c>
    </row>
    <row r="3055" spans="3:3" x14ac:dyDescent="0.3">
      <c r="C3055" t="s">
        <v>1123</v>
      </c>
    </row>
    <row r="3056" spans="3:3" x14ac:dyDescent="0.3">
      <c r="C3056" t="s">
        <v>1124</v>
      </c>
    </row>
    <row r="3057" spans="3:3" x14ac:dyDescent="0.3">
      <c r="C3057" t="s">
        <v>1125</v>
      </c>
    </row>
    <row r="3058" spans="3:3" x14ac:dyDescent="0.3">
      <c r="C3058" t="s">
        <v>1126</v>
      </c>
    </row>
    <row r="3059" spans="3:3" x14ac:dyDescent="0.3">
      <c r="C3059" t="s">
        <v>1127</v>
      </c>
    </row>
    <row r="3060" spans="3:3" x14ac:dyDescent="0.3">
      <c r="C3060" t="s">
        <v>1128</v>
      </c>
    </row>
    <row r="3061" spans="3:3" x14ac:dyDescent="0.3">
      <c r="C3061" t="s">
        <v>1129</v>
      </c>
    </row>
    <row r="3062" spans="3:3" x14ac:dyDescent="0.3">
      <c r="C3062" t="s">
        <v>1130</v>
      </c>
    </row>
    <row r="3063" spans="3:3" x14ac:dyDescent="0.3">
      <c r="C3063" t="s">
        <v>1131</v>
      </c>
    </row>
    <row r="3065" spans="3:3" x14ac:dyDescent="0.3">
      <c r="C3065" t="s">
        <v>1119</v>
      </c>
    </row>
    <row r="3066" spans="3:3" x14ac:dyDescent="0.3">
      <c r="C3066" t="s">
        <v>1132</v>
      </c>
    </row>
    <row r="3067" spans="3:3" x14ac:dyDescent="0.3">
      <c r="C3067" t="s">
        <v>1121</v>
      </c>
    </row>
    <row r="3068" spans="3:3" x14ac:dyDescent="0.3">
      <c r="C3068" t="s">
        <v>1122</v>
      </c>
    </row>
    <row r="3069" spans="3:3" x14ac:dyDescent="0.3">
      <c r="C3069" t="s">
        <v>1123</v>
      </c>
    </row>
    <row r="3070" spans="3:3" x14ac:dyDescent="0.3">
      <c r="C3070" t="s">
        <v>1124</v>
      </c>
    </row>
    <row r="3071" spans="3:3" x14ac:dyDescent="0.3">
      <c r="C3071" t="s">
        <v>1125</v>
      </c>
    </row>
    <row r="3072" spans="3:3" x14ac:dyDescent="0.3">
      <c r="C3072" t="s">
        <v>1126</v>
      </c>
    </row>
    <row r="3073" spans="3:3" x14ac:dyDescent="0.3">
      <c r="C3073" t="s">
        <v>1127</v>
      </c>
    </row>
    <row r="3074" spans="3:3" x14ac:dyDescent="0.3">
      <c r="C3074" t="s">
        <v>1128</v>
      </c>
    </row>
    <row r="3075" spans="3:3" x14ac:dyDescent="0.3">
      <c r="C3075" t="s">
        <v>1129</v>
      </c>
    </row>
    <row r="3076" spans="3:3" x14ac:dyDescent="0.3">
      <c r="C3076" t="s">
        <v>1130</v>
      </c>
    </row>
    <row r="3077" spans="3:3" x14ac:dyDescent="0.3">
      <c r="C3077" t="s">
        <v>1131</v>
      </c>
    </row>
    <row r="3079" spans="3:3" x14ac:dyDescent="0.3">
      <c r="C3079" t="s">
        <v>1119</v>
      </c>
    </row>
    <row r="3080" spans="3:3" x14ac:dyDescent="0.3">
      <c r="C3080" t="s">
        <v>1133</v>
      </c>
    </row>
    <row r="3081" spans="3:3" x14ac:dyDescent="0.3">
      <c r="C3081" t="s">
        <v>1121</v>
      </c>
    </row>
    <row r="3082" spans="3:3" x14ac:dyDescent="0.3">
      <c r="C3082" t="s">
        <v>1122</v>
      </c>
    </row>
    <row r="3083" spans="3:3" x14ac:dyDescent="0.3">
      <c r="C3083" t="s">
        <v>1123</v>
      </c>
    </row>
    <row r="3084" spans="3:3" x14ac:dyDescent="0.3">
      <c r="C3084" t="s">
        <v>1124</v>
      </c>
    </row>
    <row r="3085" spans="3:3" x14ac:dyDescent="0.3">
      <c r="C3085" t="s">
        <v>1125</v>
      </c>
    </row>
    <row r="3086" spans="3:3" x14ac:dyDescent="0.3">
      <c r="C3086" t="s">
        <v>1126</v>
      </c>
    </row>
    <row r="3087" spans="3:3" x14ac:dyDescent="0.3">
      <c r="C3087" t="s">
        <v>1127</v>
      </c>
    </row>
    <row r="3088" spans="3:3" x14ac:dyDescent="0.3">
      <c r="C3088" t="s">
        <v>1128</v>
      </c>
    </row>
    <row r="3089" spans="3:3" x14ac:dyDescent="0.3">
      <c r="C3089" t="s">
        <v>1129</v>
      </c>
    </row>
    <row r="3090" spans="3:3" x14ac:dyDescent="0.3">
      <c r="C3090" t="s">
        <v>1130</v>
      </c>
    </row>
    <row r="3091" spans="3:3" x14ac:dyDescent="0.3">
      <c r="C3091" t="s">
        <v>1131</v>
      </c>
    </row>
    <row r="3093" spans="3:3" x14ac:dyDescent="0.3">
      <c r="C3093" t="s">
        <v>1119</v>
      </c>
    </row>
    <row r="3094" spans="3:3" x14ac:dyDescent="0.3">
      <c r="C3094" t="s">
        <v>1134</v>
      </c>
    </row>
    <row r="3095" spans="3:3" x14ac:dyDescent="0.3">
      <c r="C3095" t="s">
        <v>1121</v>
      </c>
    </row>
    <row r="3096" spans="3:3" x14ac:dyDescent="0.3">
      <c r="C3096" t="s">
        <v>1122</v>
      </c>
    </row>
    <row r="3097" spans="3:3" x14ac:dyDescent="0.3">
      <c r="C3097" t="s">
        <v>1123</v>
      </c>
    </row>
    <row r="3098" spans="3:3" x14ac:dyDescent="0.3">
      <c r="C3098" t="s">
        <v>1124</v>
      </c>
    </row>
    <row r="3099" spans="3:3" x14ac:dyDescent="0.3">
      <c r="C3099" t="s">
        <v>1125</v>
      </c>
    </row>
    <row r="3100" spans="3:3" x14ac:dyDescent="0.3">
      <c r="C3100" t="s">
        <v>1126</v>
      </c>
    </row>
    <row r="3101" spans="3:3" x14ac:dyDescent="0.3">
      <c r="C3101" t="s">
        <v>1127</v>
      </c>
    </row>
    <row r="3102" spans="3:3" x14ac:dyDescent="0.3">
      <c r="C3102" t="s">
        <v>1128</v>
      </c>
    </row>
    <row r="3103" spans="3:3" x14ac:dyDescent="0.3">
      <c r="C3103" t="s">
        <v>1129</v>
      </c>
    </row>
    <row r="3104" spans="3:3" x14ac:dyDescent="0.3">
      <c r="C3104" t="s">
        <v>1130</v>
      </c>
    </row>
    <row r="3105" spans="3:3" x14ac:dyDescent="0.3">
      <c r="C3105" t="s">
        <v>1131</v>
      </c>
    </row>
    <row r="3107" spans="3:3" x14ac:dyDescent="0.3">
      <c r="C3107" t="s">
        <v>1119</v>
      </c>
    </row>
    <row r="3108" spans="3:3" x14ac:dyDescent="0.3">
      <c r="C3108" t="s">
        <v>1135</v>
      </c>
    </row>
    <row r="3109" spans="3:3" x14ac:dyDescent="0.3">
      <c r="C3109" t="s">
        <v>1121</v>
      </c>
    </row>
    <row r="3110" spans="3:3" x14ac:dyDescent="0.3">
      <c r="C3110" t="s">
        <v>1122</v>
      </c>
    </row>
    <row r="3111" spans="3:3" x14ac:dyDescent="0.3">
      <c r="C3111" t="s">
        <v>1123</v>
      </c>
    </row>
    <row r="3112" spans="3:3" x14ac:dyDescent="0.3">
      <c r="C3112" t="s">
        <v>1124</v>
      </c>
    </row>
    <row r="3113" spans="3:3" x14ac:dyDescent="0.3">
      <c r="C3113" t="s">
        <v>1125</v>
      </c>
    </row>
    <row r="3114" spans="3:3" x14ac:dyDescent="0.3">
      <c r="C3114" t="s">
        <v>1126</v>
      </c>
    </row>
    <row r="3115" spans="3:3" x14ac:dyDescent="0.3">
      <c r="C3115" t="s">
        <v>1127</v>
      </c>
    </row>
    <row r="3116" spans="3:3" x14ac:dyDescent="0.3">
      <c r="C3116" t="s">
        <v>1128</v>
      </c>
    </row>
    <row r="3117" spans="3:3" x14ac:dyDescent="0.3">
      <c r="C3117" t="s">
        <v>1129</v>
      </c>
    </row>
    <row r="3118" spans="3:3" x14ac:dyDescent="0.3">
      <c r="C3118" t="s">
        <v>1130</v>
      </c>
    </row>
    <row r="3119" spans="3:3" x14ac:dyDescent="0.3">
      <c r="C3119" t="s">
        <v>1131</v>
      </c>
    </row>
    <row r="3121" spans="3:3" x14ac:dyDescent="0.3">
      <c r="C3121" t="s">
        <v>1119</v>
      </c>
    </row>
    <row r="3122" spans="3:3" x14ac:dyDescent="0.3">
      <c r="C3122" t="s">
        <v>1136</v>
      </c>
    </row>
    <row r="3123" spans="3:3" x14ac:dyDescent="0.3">
      <c r="C3123" t="s">
        <v>1121</v>
      </c>
    </row>
    <row r="3124" spans="3:3" x14ac:dyDescent="0.3">
      <c r="C3124" t="s">
        <v>1122</v>
      </c>
    </row>
    <row r="3125" spans="3:3" x14ac:dyDescent="0.3">
      <c r="C3125" t="s">
        <v>1123</v>
      </c>
    </row>
    <row r="3126" spans="3:3" x14ac:dyDescent="0.3">
      <c r="C3126" t="s">
        <v>1124</v>
      </c>
    </row>
    <row r="3127" spans="3:3" x14ac:dyDescent="0.3">
      <c r="C3127" t="s">
        <v>1125</v>
      </c>
    </row>
    <row r="3128" spans="3:3" x14ac:dyDescent="0.3">
      <c r="C3128" t="s">
        <v>1126</v>
      </c>
    </row>
    <row r="3129" spans="3:3" x14ac:dyDescent="0.3">
      <c r="C3129" t="s">
        <v>1127</v>
      </c>
    </row>
    <row r="3130" spans="3:3" x14ac:dyDescent="0.3">
      <c r="C3130" t="s">
        <v>1128</v>
      </c>
    </row>
    <row r="3131" spans="3:3" x14ac:dyDescent="0.3">
      <c r="C3131" t="s">
        <v>1129</v>
      </c>
    </row>
    <row r="3132" spans="3:3" x14ac:dyDescent="0.3">
      <c r="C3132" t="s">
        <v>1130</v>
      </c>
    </row>
    <row r="3133" spans="3:3" x14ac:dyDescent="0.3">
      <c r="C3133" t="s">
        <v>1131</v>
      </c>
    </row>
    <row r="3135" spans="3:3" x14ac:dyDescent="0.3">
      <c r="C3135" t="s">
        <v>1119</v>
      </c>
    </row>
    <row r="3136" spans="3:3" x14ac:dyDescent="0.3">
      <c r="C3136" t="s">
        <v>1137</v>
      </c>
    </row>
    <row r="3137" spans="3:3" x14ac:dyDescent="0.3">
      <c r="C3137" t="s">
        <v>1138</v>
      </c>
    </row>
    <row r="3138" spans="3:3" x14ac:dyDescent="0.3">
      <c r="C3138" t="s">
        <v>1122</v>
      </c>
    </row>
    <row r="3139" spans="3:3" x14ac:dyDescent="0.3">
      <c r="C3139" t="s">
        <v>1139</v>
      </c>
    </row>
    <row r="3140" spans="3:3" x14ac:dyDescent="0.3">
      <c r="C3140" t="s">
        <v>1124</v>
      </c>
    </row>
    <row r="3141" spans="3:3" x14ac:dyDescent="0.3">
      <c r="C3141" t="s">
        <v>1125</v>
      </c>
    </row>
    <row r="3142" spans="3:3" x14ac:dyDescent="0.3">
      <c r="C3142" t="s">
        <v>1126</v>
      </c>
    </row>
    <row r="3143" spans="3:3" x14ac:dyDescent="0.3">
      <c r="C3143" t="s">
        <v>1127</v>
      </c>
    </row>
    <row r="3144" spans="3:3" x14ac:dyDescent="0.3">
      <c r="C3144" t="s">
        <v>1128</v>
      </c>
    </row>
    <row r="3145" spans="3:3" x14ac:dyDescent="0.3">
      <c r="C3145" t="s">
        <v>1129</v>
      </c>
    </row>
    <row r="3146" spans="3:3" x14ac:dyDescent="0.3">
      <c r="C3146" t="s">
        <v>1130</v>
      </c>
    </row>
    <row r="3147" spans="3:3" x14ac:dyDescent="0.3">
      <c r="C3147" t="s">
        <v>1131</v>
      </c>
    </row>
    <row r="3149" spans="3:3" x14ac:dyDescent="0.3">
      <c r="C3149" t="s">
        <v>1119</v>
      </c>
    </row>
    <row r="3150" spans="3:3" x14ac:dyDescent="0.3">
      <c r="C3150" t="s">
        <v>1140</v>
      </c>
    </row>
    <row r="3151" spans="3:3" x14ac:dyDescent="0.3">
      <c r="C3151" t="s">
        <v>1138</v>
      </c>
    </row>
    <row r="3152" spans="3:3" x14ac:dyDescent="0.3">
      <c r="C3152" t="s">
        <v>1122</v>
      </c>
    </row>
    <row r="3153" spans="3:3" x14ac:dyDescent="0.3">
      <c r="C3153" t="s">
        <v>1139</v>
      </c>
    </row>
    <row r="3154" spans="3:3" x14ac:dyDescent="0.3">
      <c r="C3154" t="s">
        <v>1124</v>
      </c>
    </row>
    <row r="3155" spans="3:3" x14ac:dyDescent="0.3">
      <c r="C3155" t="s">
        <v>1125</v>
      </c>
    </row>
    <row r="3156" spans="3:3" x14ac:dyDescent="0.3">
      <c r="C3156" t="s">
        <v>1126</v>
      </c>
    </row>
    <row r="3157" spans="3:3" x14ac:dyDescent="0.3">
      <c r="C3157" t="s">
        <v>1127</v>
      </c>
    </row>
    <row r="3158" spans="3:3" x14ac:dyDescent="0.3">
      <c r="C3158" t="s">
        <v>1128</v>
      </c>
    </row>
    <row r="3159" spans="3:3" x14ac:dyDescent="0.3">
      <c r="C3159" t="s">
        <v>1129</v>
      </c>
    </row>
    <row r="3160" spans="3:3" x14ac:dyDescent="0.3">
      <c r="C3160" t="s">
        <v>1130</v>
      </c>
    </row>
    <row r="3161" spans="3:3" x14ac:dyDescent="0.3">
      <c r="C3161" t="s">
        <v>1131</v>
      </c>
    </row>
    <row r="3163" spans="3:3" x14ac:dyDescent="0.3">
      <c r="C3163" t="s">
        <v>1119</v>
      </c>
    </row>
    <row r="3164" spans="3:3" x14ac:dyDescent="0.3">
      <c r="C3164" t="s">
        <v>1141</v>
      </c>
    </row>
    <row r="3165" spans="3:3" x14ac:dyDescent="0.3">
      <c r="C3165" t="s">
        <v>1138</v>
      </c>
    </row>
    <row r="3166" spans="3:3" x14ac:dyDescent="0.3">
      <c r="C3166" t="s">
        <v>1122</v>
      </c>
    </row>
    <row r="3167" spans="3:3" x14ac:dyDescent="0.3">
      <c r="C3167" t="s">
        <v>1139</v>
      </c>
    </row>
    <row r="3168" spans="3:3" x14ac:dyDescent="0.3">
      <c r="C3168" t="s">
        <v>1124</v>
      </c>
    </row>
    <row r="3169" spans="3:3" x14ac:dyDescent="0.3">
      <c r="C3169" t="s">
        <v>1125</v>
      </c>
    </row>
    <row r="3170" spans="3:3" x14ac:dyDescent="0.3">
      <c r="C3170" t="s">
        <v>1126</v>
      </c>
    </row>
    <row r="3171" spans="3:3" x14ac:dyDescent="0.3">
      <c r="C3171" t="s">
        <v>1127</v>
      </c>
    </row>
    <row r="3172" spans="3:3" x14ac:dyDescent="0.3">
      <c r="C3172" t="s">
        <v>1128</v>
      </c>
    </row>
    <row r="3173" spans="3:3" x14ac:dyDescent="0.3">
      <c r="C3173" t="s">
        <v>1129</v>
      </c>
    </row>
    <row r="3174" spans="3:3" x14ac:dyDescent="0.3">
      <c r="C3174" t="s">
        <v>1130</v>
      </c>
    </row>
    <row r="3175" spans="3:3" x14ac:dyDescent="0.3">
      <c r="C3175" t="s">
        <v>1131</v>
      </c>
    </row>
    <row r="3177" spans="3:3" x14ac:dyDescent="0.3">
      <c r="C3177" t="s">
        <v>1119</v>
      </c>
    </row>
    <row r="3178" spans="3:3" x14ac:dyDescent="0.3">
      <c r="C3178" t="s">
        <v>1142</v>
      </c>
    </row>
    <row r="3179" spans="3:3" x14ac:dyDescent="0.3">
      <c r="C3179" t="s">
        <v>1138</v>
      </c>
    </row>
    <row r="3180" spans="3:3" x14ac:dyDescent="0.3">
      <c r="C3180" t="s">
        <v>1122</v>
      </c>
    </row>
    <row r="3181" spans="3:3" x14ac:dyDescent="0.3">
      <c r="C3181" t="s">
        <v>1139</v>
      </c>
    </row>
    <row r="3182" spans="3:3" x14ac:dyDescent="0.3">
      <c r="C3182" t="s">
        <v>1124</v>
      </c>
    </row>
    <row r="3183" spans="3:3" x14ac:dyDescent="0.3">
      <c r="C3183" t="s">
        <v>1125</v>
      </c>
    </row>
    <row r="3184" spans="3:3" x14ac:dyDescent="0.3">
      <c r="C3184" t="s">
        <v>1126</v>
      </c>
    </row>
    <row r="3185" spans="3:3" x14ac:dyDescent="0.3">
      <c r="C3185" t="s">
        <v>1127</v>
      </c>
    </row>
    <row r="3186" spans="3:3" x14ac:dyDescent="0.3">
      <c r="C3186" t="s">
        <v>1128</v>
      </c>
    </row>
    <row r="3187" spans="3:3" x14ac:dyDescent="0.3">
      <c r="C3187" t="s">
        <v>1129</v>
      </c>
    </row>
    <row r="3188" spans="3:3" x14ac:dyDescent="0.3">
      <c r="C3188" t="s">
        <v>1130</v>
      </c>
    </row>
    <row r="3189" spans="3:3" x14ac:dyDescent="0.3">
      <c r="C3189" t="s">
        <v>1131</v>
      </c>
    </row>
    <row r="3191" spans="3:3" x14ac:dyDescent="0.3">
      <c r="C3191" t="s">
        <v>1119</v>
      </c>
    </row>
    <row r="3192" spans="3:3" x14ac:dyDescent="0.3">
      <c r="C3192" t="s">
        <v>1143</v>
      </c>
    </row>
    <row r="3193" spans="3:3" x14ac:dyDescent="0.3">
      <c r="C3193" t="s">
        <v>1138</v>
      </c>
    </row>
    <row r="3194" spans="3:3" x14ac:dyDescent="0.3">
      <c r="C3194" t="s">
        <v>1122</v>
      </c>
    </row>
    <row r="3195" spans="3:3" x14ac:dyDescent="0.3">
      <c r="C3195" t="s">
        <v>1139</v>
      </c>
    </row>
    <row r="3196" spans="3:3" x14ac:dyDescent="0.3">
      <c r="C3196" t="s">
        <v>1124</v>
      </c>
    </row>
    <row r="3197" spans="3:3" x14ac:dyDescent="0.3">
      <c r="C3197" t="s">
        <v>1125</v>
      </c>
    </row>
    <row r="3198" spans="3:3" x14ac:dyDescent="0.3">
      <c r="C3198" t="s">
        <v>1126</v>
      </c>
    </row>
    <row r="3199" spans="3:3" x14ac:dyDescent="0.3">
      <c r="C3199" t="s">
        <v>1127</v>
      </c>
    </row>
    <row r="3200" spans="3:3" x14ac:dyDescent="0.3">
      <c r="C3200" t="s">
        <v>1128</v>
      </c>
    </row>
    <row r="3201" spans="3:3" x14ac:dyDescent="0.3">
      <c r="C3201" t="s">
        <v>1129</v>
      </c>
    </row>
    <row r="3202" spans="3:3" x14ac:dyDescent="0.3">
      <c r="C3202" t="s">
        <v>1130</v>
      </c>
    </row>
    <row r="3203" spans="3:3" x14ac:dyDescent="0.3">
      <c r="C3203" t="s">
        <v>1131</v>
      </c>
    </row>
    <row r="3206" spans="3:3" x14ac:dyDescent="0.3">
      <c r="C3206" t="s">
        <v>313</v>
      </c>
    </row>
    <row r="3208" spans="3:3" x14ac:dyDescent="0.3">
      <c r="C3208" t="s">
        <v>1144</v>
      </c>
    </row>
    <row r="3209" spans="3:3" x14ac:dyDescent="0.3">
      <c r="C3209" t="s">
        <v>741</v>
      </c>
    </row>
    <row r="3210" spans="3:3" x14ac:dyDescent="0.3">
      <c r="C3210" t="s">
        <v>1145</v>
      </c>
    </row>
    <row r="3211" spans="3:3" x14ac:dyDescent="0.3">
      <c r="C3211" t="s">
        <v>1146</v>
      </c>
    </row>
    <row r="3212" spans="3:3" x14ac:dyDescent="0.3">
      <c r="C3212" t="s">
        <v>1147</v>
      </c>
    </row>
    <row r="3213" spans="3:3" x14ac:dyDescent="0.3">
      <c r="C3213" t="s">
        <v>1148</v>
      </c>
    </row>
    <row r="3214" spans="3:3" x14ac:dyDescent="0.3">
      <c r="C3214" t="s">
        <v>1149</v>
      </c>
    </row>
    <row r="3215" spans="3:3" x14ac:dyDescent="0.3">
      <c r="C3215" t="s">
        <v>1150</v>
      </c>
    </row>
    <row r="3216" spans="3:3" x14ac:dyDescent="0.3">
      <c r="C3216" t="s">
        <v>1151</v>
      </c>
    </row>
    <row r="3217" spans="3:3" x14ac:dyDescent="0.3">
      <c r="C3217" t="s">
        <v>1152</v>
      </c>
    </row>
    <row r="3218" spans="3:3" x14ac:dyDescent="0.3">
      <c r="C3218" t="s">
        <v>1153</v>
      </c>
    </row>
    <row r="3219" spans="3:3" x14ac:dyDescent="0.3">
      <c r="C3219" t="s">
        <v>1154</v>
      </c>
    </row>
    <row r="3220" spans="3:3" x14ac:dyDescent="0.3">
      <c r="C3220" t="s">
        <v>1155</v>
      </c>
    </row>
    <row r="3221" spans="3:3" x14ac:dyDescent="0.3">
      <c r="C3221" t="s">
        <v>1156</v>
      </c>
    </row>
    <row r="3222" spans="3:3" x14ac:dyDescent="0.3">
      <c r="C3222" t="s">
        <v>1157</v>
      </c>
    </row>
    <row r="3223" spans="3:3" x14ac:dyDescent="0.3">
      <c r="C3223" t="s">
        <v>1158</v>
      </c>
    </row>
    <row r="3224" spans="3:3" x14ac:dyDescent="0.3">
      <c r="C3224" t="s">
        <v>1159</v>
      </c>
    </row>
    <row r="3225" spans="3:3" x14ac:dyDescent="0.3">
      <c r="C3225" t="s">
        <v>1160</v>
      </c>
    </row>
    <row r="3226" spans="3:3" x14ac:dyDescent="0.3">
      <c r="C3226" t="s">
        <v>1161</v>
      </c>
    </row>
    <row r="3227" spans="3:3" x14ac:dyDescent="0.3">
      <c r="C3227" t="s">
        <v>1162</v>
      </c>
    </row>
    <row r="3228" spans="3:3" x14ac:dyDescent="0.3">
      <c r="C3228" t="s">
        <v>1163</v>
      </c>
    </row>
    <row r="3229" spans="3:3" x14ac:dyDescent="0.3">
      <c r="C3229" t="s">
        <v>1164</v>
      </c>
    </row>
    <row r="3231" spans="3:3" x14ac:dyDescent="0.3">
      <c r="C3231" t="s">
        <v>1144</v>
      </c>
    </row>
    <row r="3232" spans="3:3" x14ac:dyDescent="0.3">
      <c r="C3232" t="s">
        <v>743</v>
      </c>
    </row>
    <row r="3233" spans="3:3" x14ac:dyDescent="0.3">
      <c r="C3233" t="s">
        <v>1165</v>
      </c>
    </row>
    <row r="3234" spans="3:3" x14ac:dyDescent="0.3">
      <c r="C3234" t="s">
        <v>1146</v>
      </c>
    </row>
    <row r="3235" spans="3:3" x14ac:dyDescent="0.3">
      <c r="C3235" t="s">
        <v>1147</v>
      </c>
    </row>
    <row r="3236" spans="3:3" x14ac:dyDescent="0.3">
      <c r="C3236" t="s">
        <v>1148</v>
      </c>
    </row>
    <row r="3237" spans="3:3" x14ac:dyDescent="0.3">
      <c r="C3237" t="s">
        <v>1166</v>
      </c>
    </row>
    <row r="3238" spans="3:3" x14ac:dyDescent="0.3">
      <c r="C3238" t="s">
        <v>1150</v>
      </c>
    </row>
    <row r="3239" spans="3:3" x14ac:dyDescent="0.3">
      <c r="C3239" t="s">
        <v>1151</v>
      </c>
    </row>
    <row r="3240" spans="3:3" x14ac:dyDescent="0.3">
      <c r="C3240" t="s">
        <v>1152</v>
      </c>
    </row>
    <row r="3241" spans="3:3" x14ac:dyDescent="0.3">
      <c r="C3241" t="s">
        <v>1153</v>
      </c>
    </row>
    <row r="3242" spans="3:3" x14ac:dyDescent="0.3">
      <c r="C3242" t="s">
        <v>1154</v>
      </c>
    </row>
    <row r="3243" spans="3:3" x14ac:dyDescent="0.3">
      <c r="C3243" t="s">
        <v>1167</v>
      </c>
    </row>
    <row r="3244" spans="3:3" x14ac:dyDescent="0.3">
      <c r="C3244" t="s">
        <v>1156</v>
      </c>
    </row>
    <row r="3245" spans="3:3" x14ac:dyDescent="0.3">
      <c r="C3245" t="s">
        <v>1168</v>
      </c>
    </row>
    <row r="3246" spans="3:3" x14ac:dyDescent="0.3">
      <c r="C3246" t="s">
        <v>1158</v>
      </c>
    </row>
    <row r="3247" spans="3:3" x14ac:dyDescent="0.3">
      <c r="C3247" t="s">
        <v>1169</v>
      </c>
    </row>
    <row r="3250" spans="3:3" x14ac:dyDescent="0.3">
      <c r="C3250" t="s">
        <v>314</v>
      </c>
    </row>
    <row r="3252" spans="3:3" x14ac:dyDescent="0.3">
      <c r="C3252" t="s">
        <v>1170</v>
      </c>
    </row>
    <row r="3253" spans="3:3" x14ac:dyDescent="0.3">
      <c r="C3253" t="s">
        <v>1171</v>
      </c>
    </row>
    <row r="3254" spans="3:3" x14ac:dyDescent="0.3">
      <c r="C3254" t="s">
        <v>1172</v>
      </c>
    </row>
    <row r="3255" spans="3:3" x14ac:dyDescent="0.3">
      <c r="C3255" t="s">
        <v>1173</v>
      </c>
    </row>
    <row r="3256" spans="3:3" x14ac:dyDescent="0.3">
      <c r="C3256" t="s">
        <v>1174</v>
      </c>
    </row>
    <row r="3257" spans="3:3" x14ac:dyDescent="0.3">
      <c r="C3257" t="s">
        <v>1175</v>
      </c>
    </row>
    <row r="3260" spans="3:3" x14ac:dyDescent="0.3">
      <c r="C3260" t="s">
        <v>315</v>
      </c>
    </row>
    <row r="3262" spans="3:3" x14ac:dyDescent="0.3">
      <c r="C3262" t="s">
        <v>1176</v>
      </c>
    </row>
    <row r="3263" spans="3:3" x14ac:dyDescent="0.3">
      <c r="C3263" t="s">
        <v>123</v>
      </c>
    </row>
    <row r="3264" spans="3:3" x14ac:dyDescent="0.3">
      <c r="C3264" t="s">
        <v>1177</v>
      </c>
    </row>
    <row r="3265" spans="3:3" x14ac:dyDescent="0.3">
      <c r="C3265" t="s">
        <v>1178</v>
      </c>
    </row>
    <row r="3266" spans="3:3" x14ac:dyDescent="0.3">
      <c r="C3266" t="s">
        <v>1179</v>
      </c>
    </row>
    <row r="3267" spans="3:3" x14ac:dyDescent="0.3">
      <c r="C3267" t="s">
        <v>1180</v>
      </c>
    </row>
    <row r="3268" spans="3:3" x14ac:dyDescent="0.3">
      <c r="C3268" t="s">
        <v>1181</v>
      </c>
    </row>
    <row r="3269" spans="3:3" x14ac:dyDescent="0.3">
      <c r="C3269" t="s">
        <v>1182</v>
      </c>
    </row>
    <row r="3270" spans="3:3" x14ac:dyDescent="0.3">
      <c r="C3270" t="s">
        <v>1183</v>
      </c>
    </row>
    <row r="3271" spans="3:3" x14ac:dyDescent="0.3">
      <c r="C3271" t="s">
        <v>1184</v>
      </c>
    </row>
    <row r="3272" spans="3:3" x14ac:dyDescent="0.3">
      <c r="C3272" t="s">
        <v>1185</v>
      </c>
    </row>
    <row r="3273" spans="3:3" x14ac:dyDescent="0.3">
      <c r="C3273" t="s">
        <v>1186</v>
      </c>
    </row>
    <row r="3274" spans="3:3" x14ac:dyDescent="0.3">
      <c r="C3274" t="s">
        <v>1187</v>
      </c>
    </row>
    <row r="3275" spans="3:3" x14ac:dyDescent="0.3">
      <c r="C3275" t="s">
        <v>1188</v>
      </c>
    </row>
    <row r="3276" spans="3:3" x14ac:dyDescent="0.3">
      <c r="C3276" t="s">
        <v>1189</v>
      </c>
    </row>
    <row r="3277" spans="3:3" x14ac:dyDescent="0.3">
      <c r="C3277" t="s">
        <v>1190</v>
      </c>
    </row>
    <row r="3278" spans="3:3" x14ac:dyDescent="0.3">
      <c r="C3278" t="s">
        <v>1191</v>
      </c>
    </row>
    <row r="3279" spans="3:3" x14ac:dyDescent="0.3">
      <c r="C3279" t="s">
        <v>1192</v>
      </c>
    </row>
    <row r="3280" spans="3:3" x14ac:dyDescent="0.3">
      <c r="C3280" t="s">
        <v>1193</v>
      </c>
    </row>
    <row r="3281" spans="3:3" x14ac:dyDescent="0.3">
      <c r="C3281" t="s">
        <v>1194</v>
      </c>
    </row>
    <row r="3282" spans="3:3" x14ac:dyDescent="0.3">
      <c r="C3282" t="s">
        <v>1195</v>
      </c>
    </row>
    <row r="3283" spans="3:3" x14ac:dyDescent="0.3">
      <c r="C3283" t="s">
        <v>1196</v>
      </c>
    </row>
    <row r="3284" spans="3:3" x14ac:dyDescent="0.3">
      <c r="C3284" t="s">
        <v>1197</v>
      </c>
    </row>
    <row r="3285" spans="3:3" x14ac:dyDescent="0.3">
      <c r="C3285" t="s">
        <v>1198</v>
      </c>
    </row>
    <row r="3286" spans="3:3" x14ac:dyDescent="0.3">
      <c r="C3286" t="s">
        <v>1199</v>
      </c>
    </row>
    <row r="3287" spans="3:3" x14ac:dyDescent="0.3">
      <c r="C3287" t="s">
        <v>1200</v>
      </c>
    </row>
    <row r="3288" spans="3:3" x14ac:dyDescent="0.3">
      <c r="C3288" t="s">
        <v>1201</v>
      </c>
    </row>
    <row r="3289" spans="3:3" x14ac:dyDescent="0.3">
      <c r="C3289" t="s">
        <v>1202</v>
      </c>
    </row>
    <row r="3290" spans="3:3" x14ac:dyDescent="0.3">
      <c r="C3290" t="s">
        <v>1203</v>
      </c>
    </row>
    <row r="3291" spans="3:3" x14ac:dyDescent="0.3">
      <c r="C3291" t="s">
        <v>1204</v>
      </c>
    </row>
    <row r="3292" spans="3:3" x14ac:dyDescent="0.3">
      <c r="C3292" t="s">
        <v>1205</v>
      </c>
    </row>
    <row r="3294" spans="3:3" x14ac:dyDescent="0.3">
      <c r="C3294" t="s">
        <v>1176</v>
      </c>
    </row>
    <row r="3295" spans="3:3" x14ac:dyDescent="0.3">
      <c r="C3295" t="s">
        <v>150</v>
      </c>
    </row>
    <row r="3296" spans="3:3" x14ac:dyDescent="0.3">
      <c r="C3296" t="s">
        <v>1177</v>
      </c>
    </row>
    <row r="3297" spans="3:3" x14ac:dyDescent="0.3">
      <c r="C3297" t="s">
        <v>1178</v>
      </c>
    </row>
    <row r="3298" spans="3:3" x14ac:dyDescent="0.3">
      <c r="C3298" t="s">
        <v>1179</v>
      </c>
    </row>
    <row r="3299" spans="3:3" x14ac:dyDescent="0.3">
      <c r="C3299" t="s">
        <v>1180</v>
      </c>
    </row>
    <row r="3300" spans="3:3" x14ac:dyDescent="0.3">
      <c r="C3300" t="s">
        <v>1181</v>
      </c>
    </row>
    <row r="3301" spans="3:3" x14ac:dyDescent="0.3">
      <c r="C3301" t="s">
        <v>1182</v>
      </c>
    </row>
    <row r="3302" spans="3:3" x14ac:dyDescent="0.3">
      <c r="C3302" t="s">
        <v>1183</v>
      </c>
    </row>
    <row r="3303" spans="3:3" x14ac:dyDescent="0.3">
      <c r="C3303" t="s">
        <v>1184</v>
      </c>
    </row>
    <row r="3304" spans="3:3" x14ac:dyDescent="0.3">
      <c r="C3304" t="s">
        <v>1185</v>
      </c>
    </row>
    <row r="3305" spans="3:3" x14ac:dyDescent="0.3">
      <c r="C3305" t="s">
        <v>1186</v>
      </c>
    </row>
    <row r="3306" spans="3:3" x14ac:dyDescent="0.3">
      <c r="C3306" t="s">
        <v>1187</v>
      </c>
    </row>
    <row r="3307" spans="3:3" x14ac:dyDescent="0.3">
      <c r="C3307" t="s">
        <v>1188</v>
      </c>
    </row>
    <row r="3308" spans="3:3" x14ac:dyDescent="0.3">
      <c r="C3308" t="s">
        <v>1189</v>
      </c>
    </row>
    <row r="3309" spans="3:3" x14ac:dyDescent="0.3">
      <c r="C3309" t="s">
        <v>1190</v>
      </c>
    </row>
    <row r="3310" spans="3:3" x14ac:dyDescent="0.3">
      <c r="C3310" t="s">
        <v>1191</v>
      </c>
    </row>
    <row r="3311" spans="3:3" x14ac:dyDescent="0.3">
      <c r="C3311" t="s">
        <v>1192</v>
      </c>
    </row>
    <row r="3312" spans="3:3" x14ac:dyDescent="0.3">
      <c r="C3312" t="s">
        <v>1193</v>
      </c>
    </row>
    <row r="3313" spans="3:3" x14ac:dyDescent="0.3">
      <c r="C3313" t="s">
        <v>1194</v>
      </c>
    </row>
    <row r="3314" spans="3:3" x14ac:dyDescent="0.3">
      <c r="C3314" t="s">
        <v>1195</v>
      </c>
    </row>
    <row r="3315" spans="3:3" x14ac:dyDescent="0.3">
      <c r="C3315" t="s">
        <v>1196</v>
      </c>
    </row>
    <row r="3316" spans="3:3" x14ac:dyDescent="0.3">
      <c r="C3316" t="s">
        <v>1197</v>
      </c>
    </row>
    <row r="3317" spans="3:3" x14ac:dyDescent="0.3">
      <c r="C3317" t="s">
        <v>1198</v>
      </c>
    </row>
    <row r="3318" spans="3:3" x14ac:dyDescent="0.3">
      <c r="C3318" t="s">
        <v>1199</v>
      </c>
    </row>
    <row r="3319" spans="3:3" x14ac:dyDescent="0.3">
      <c r="C3319" t="s">
        <v>1200</v>
      </c>
    </row>
    <row r="3320" spans="3:3" x14ac:dyDescent="0.3">
      <c r="C3320" t="s">
        <v>1201</v>
      </c>
    </row>
    <row r="3321" spans="3:3" x14ac:dyDescent="0.3">
      <c r="C3321" t="s">
        <v>1202</v>
      </c>
    </row>
    <row r="3322" spans="3:3" x14ac:dyDescent="0.3">
      <c r="C3322" t="s">
        <v>1203</v>
      </c>
    </row>
    <row r="3323" spans="3:3" x14ac:dyDescent="0.3">
      <c r="C3323" t="s">
        <v>1204</v>
      </c>
    </row>
    <row r="3324" spans="3:3" x14ac:dyDescent="0.3">
      <c r="C3324" t="s">
        <v>1205</v>
      </c>
    </row>
    <row r="3326" spans="3:3" x14ac:dyDescent="0.3">
      <c r="C3326" t="s">
        <v>1176</v>
      </c>
    </row>
    <row r="3327" spans="3:3" x14ac:dyDescent="0.3">
      <c r="C3327" t="s">
        <v>45</v>
      </c>
    </row>
    <row r="3328" spans="3:3" x14ac:dyDescent="0.3">
      <c r="C3328" t="s">
        <v>1177</v>
      </c>
    </row>
    <row r="3329" spans="3:3" x14ac:dyDescent="0.3">
      <c r="C3329" t="s">
        <v>1178</v>
      </c>
    </row>
    <row r="3330" spans="3:3" x14ac:dyDescent="0.3">
      <c r="C3330" t="s">
        <v>1179</v>
      </c>
    </row>
    <row r="3331" spans="3:3" x14ac:dyDescent="0.3">
      <c r="C3331" t="s">
        <v>1180</v>
      </c>
    </row>
    <row r="3332" spans="3:3" x14ac:dyDescent="0.3">
      <c r="C3332" t="s">
        <v>1181</v>
      </c>
    </row>
    <row r="3333" spans="3:3" x14ac:dyDescent="0.3">
      <c r="C3333" t="s">
        <v>1182</v>
      </c>
    </row>
    <row r="3334" spans="3:3" x14ac:dyDescent="0.3">
      <c r="C3334" t="s">
        <v>1183</v>
      </c>
    </row>
    <row r="3335" spans="3:3" x14ac:dyDescent="0.3">
      <c r="C3335" t="s">
        <v>1184</v>
      </c>
    </row>
    <row r="3336" spans="3:3" x14ac:dyDescent="0.3">
      <c r="C3336" t="s">
        <v>1185</v>
      </c>
    </row>
    <row r="3337" spans="3:3" x14ac:dyDescent="0.3">
      <c r="C3337" t="s">
        <v>1186</v>
      </c>
    </row>
    <row r="3338" spans="3:3" x14ac:dyDescent="0.3">
      <c r="C3338" t="s">
        <v>1187</v>
      </c>
    </row>
    <row r="3339" spans="3:3" x14ac:dyDescent="0.3">
      <c r="C3339" t="s">
        <v>1188</v>
      </c>
    </row>
    <row r="3340" spans="3:3" x14ac:dyDescent="0.3">
      <c r="C3340" t="s">
        <v>1189</v>
      </c>
    </row>
    <row r="3341" spans="3:3" x14ac:dyDescent="0.3">
      <c r="C3341" t="s">
        <v>1190</v>
      </c>
    </row>
    <row r="3342" spans="3:3" x14ac:dyDescent="0.3">
      <c r="C3342" t="s">
        <v>1191</v>
      </c>
    </row>
    <row r="3343" spans="3:3" x14ac:dyDescent="0.3">
      <c r="C3343" t="s">
        <v>1192</v>
      </c>
    </row>
    <row r="3344" spans="3:3" x14ac:dyDescent="0.3">
      <c r="C3344" t="s">
        <v>1193</v>
      </c>
    </row>
    <row r="3345" spans="3:3" x14ac:dyDescent="0.3">
      <c r="C3345" t="s">
        <v>1194</v>
      </c>
    </row>
    <row r="3346" spans="3:3" x14ac:dyDescent="0.3">
      <c r="C3346" t="s">
        <v>1195</v>
      </c>
    </row>
    <row r="3347" spans="3:3" x14ac:dyDescent="0.3">
      <c r="C3347" t="s">
        <v>1196</v>
      </c>
    </row>
    <row r="3348" spans="3:3" x14ac:dyDescent="0.3">
      <c r="C3348" t="s">
        <v>1197</v>
      </c>
    </row>
    <row r="3349" spans="3:3" x14ac:dyDescent="0.3">
      <c r="C3349" t="s">
        <v>1198</v>
      </c>
    </row>
    <row r="3350" spans="3:3" x14ac:dyDescent="0.3">
      <c r="C3350" t="s">
        <v>1199</v>
      </c>
    </row>
    <row r="3351" spans="3:3" x14ac:dyDescent="0.3">
      <c r="C3351" t="s">
        <v>1200</v>
      </c>
    </row>
    <row r="3352" spans="3:3" x14ac:dyDescent="0.3">
      <c r="C3352" t="s">
        <v>1201</v>
      </c>
    </row>
    <row r="3353" spans="3:3" x14ac:dyDescent="0.3">
      <c r="C3353" t="s">
        <v>1202</v>
      </c>
    </row>
    <row r="3354" spans="3:3" x14ac:dyDescent="0.3">
      <c r="C3354" t="s">
        <v>1203</v>
      </c>
    </row>
    <row r="3355" spans="3:3" x14ac:dyDescent="0.3">
      <c r="C3355" t="s">
        <v>1204</v>
      </c>
    </row>
    <row r="3356" spans="3:3" x14ac:dyDescent="0.3">
      <c r="C3356" t="s">
        <v>1205</v>
      </c>
    </row>
    <row r="3359" spans="3:3" x14ac:dyDescent="0.3">
      <c r="C3359" t="s">
        <v>316</v>
      </c>
    </row>
    <row r="3361" spans="3:3" x14ac:dyDescent="0.3">
      <c r="C3361" t="s">
        <v>1206</v>
      </c>
    </row>
    <row r="3362" spans="3:3" x14ac:dyDescent="0.3">
      <c r="C3362" t="s">
        <v>1207</v>
      </c>
    </row>
    <row r="3363" spans="3:3" x14ac:dyDescent="0.3">
      <c r="C3363" t="s">
        <v>1208</v>
      </c>
    </row>
    <row r="3366" spans="3:3" x14ac:dyDescent="0.3">
      <c r="C3366" t="s">
        <v>317</v>
      </c>
    </row>
    <row r="3368" spans="3:3" x14ac:dyDescent="0.3">
      <c r="C3368" t="s">
        <v>1209</v>
      </c>
    </row>
    <row r="3369" spans="3:3" x14ac:dyDescent="0.3">
      <c r="C3369" t="s">
        <v>1210</v>
      </c>
    </row>
    <row r="3372" spans="3:3" x14ac:dyDescent="0.3">
      <c r="C3372" t="s">
        <v>318</v>
      </c>
    </row>
    <row r="3374" spans="3:3" x14ac:dyDescent="0.3">
      <c r="C3374" t="s">
        <v>1211</v>
      </c>
    </row>
    <row r="3375" spans="3:3" x14ac:dyDescent="0.3">
      <c r="C3375" t="s">
        <v>1212</v>
      </c>
    </row>
    <row r="3376" spans="3:3" x14ac:dyDescent="0.3">
      <c r="C3376" t="s">
        <v>1213</v>
      </c>
    </row>
    <row r="3379" spans="3:3" x14ac:dyDescent="0.3">
      <c r="C3379" t="s">
        <v>319</v>
      </c>
    </row>
    <row r="3381" spans="3:3" x14ac:dyDescent="0.3">
      <c r="C3381" t="s">
        <v>1214</v>
      </c>
    </row>
    <row r="3382" spans="3:3" x14ac:dyDescent="0.3">
      <c r="C3382" t="s">
        <v>1215</v>
      </c>
    </row>
    <row r="3383" spans="3:3" x14ac:dyDescent="0.3">
      <c r="C3383" t="s">
        <v>1216</v>
      </c>
    </row>
    <row r="3386" spans="3:3" x14ac:dyDescent="0.3">
      <c r="C3386" t="s">
        <v>320</v>
      </c>
    </row>
    <row r="3388" spans="3:3" x14ac:dyDescent="0.3">
      <c r="C3388" t="s">
        <v>1217</v>
      </c>
    </row>
    <row r="3389" spans="3:3" x14ac:dyDescent="0.3">
      <c r="C3389" t="s">
        <v>1218</v>
      </c>
    </row>
    <row r="3392" spans="3:3" x14ac:dyDescent="0.3">
      <c r="C3392" t="s">
        <v>321</v>
      </c>
    </row>
    <row r="3394" spans="3:3" x14ac:dyDescent="0.3">
      <c r="C3394" t="s">
        <v>1219</v>
      </c>
    </row>
    <row r="3395" spans="3:3" x14ac:dyDescent="0.3">
      <c r="C3395" t="s">
        <v>1220</v>
      </c>
    </row>
    <row r="3398" spans="3:3" x14ac:dyDescent="0.3">
      <c r="C3398" t="s">
        <v>322</v>
      </c>
    </row>
    <row r="3400" spans="3:3" x14ac:dyDescent="0.3">
      <c r="C3400" t="s">
        <v>1221</v>
      </c>
    </row>
    <row r="3401" spans="3:3" x14ac:dyDescent="0.3">
      <c r="C3401" t="s">
        <v>1222</v>
      </c>
    </row>
    <row r="3402" spans="3:3" x14ac:dyDescent="0.3">
      <c r="C3402" t="s">
        <v>1223</v>
      </c>
    </row>
    <row r="3403" spans="3:3" x14ac:dyDescent="0.3">
      <c r="C3403" t="s">
        <v>1224</v>
      </c>
    </row>
    <row r="3405" spans="3:3" x14ac:dyDescent="0.3">
      <c r="C3405" t="s">
        <v>1221</v>
      </c>
    </row>
    <row r="3406" spans="3:3" x14ac:dyDescent="0.3">
      <c r="C3406" t="s">
        <v>1222</v>
      </c>
    </row>
    <row r="3407" spans="3:3" x14ac:dyDescent="0.3">
      <c r="C3407" t="s">
        <v>1225</v>
      </c>
    </row>
    <row r="3408" spans="3:3" x14ac:dyDescent="0.3">
      <c r="C3408" t="s">
        <v>1224</v>
      </c>
    </row>
    <row r="3410" spans="3:3" x14ac:dyDescent="0.3">
      <c r="C3410" t="s">
        <v>1221</v>
      </c>
    </row>
    <row r="3411" spans="3:3" x14ac:dyDescent="0.3">
      <c r="C3411" t="s">
        <v>1222</v>
      </c>
    </row>
    <row r="3412" spans="3:3" x14ac:dyDescent="0.3">
      <c r="C3412" t="s">
        <v>1226</v>
      </c>
    </row>
    <row r="3413" spans="3:3" x14ac:dyDescent="0.3">
      <c r="C3413" t="s">
        <v>1224</v>
      </c>
    </row>
    <row r="3415" spans="3:3" x14ac:dyDescent="0.3">
      <c r="C3415" t="s">
        <v>1221</v>
      </c>
    </row>
    <row r="3416" spans="3:3" x14ac:dyDescent="0.3">
      <c r="C3416" t="s">
        <v>1222</v>
      </c>
    </row>
    <row r="3417" spans="3:3" x14ac:dyDescent="0.3">
      <c r="C3417" t="s">
        <v>1227</v>
      </c>
    </row>
    <row r="3418" spans="3:3" x14ac:dyDescent="0.3">
      <c r="C3418" t="s">
        <v>1224</v>
      </c>
    </row>
    <row r="3420" spans="3:3" x14ac:dyDescent="0.3">
      <c r="C3420" t="s">
        <v>1221</v>
      </c>
    </row>
    <row r="3421" spans="3:3" x14ac:dyDescent="0.3">
      <c r="C3421" t="s">
        <v>1222</v>
      </c>
    </row>
    <row r="3422" spans="3:3" x14ac:dyDescent="0.3">
      <c r="C3422" t="s">
        <v>1228</v>
      </c>
    </row>
    <row r="3423" spans="3:3" x14ac:dyDescent="0.3">
      <c r="C3423" t="s">
        <v>1224</v>
      </c>
    </row>
    <row r="3425" spans="3:3" x14ac:dyDescent="0.3">
      <c r="C3425" t="s">
        <v>1221</v>
      </c>
    </row>
    <row r="3426" spans="3:3" x14ac:dyDescent="0.3">
      <c r="C3426" t="s">
        <v>1222</v>
      </c>
    </row>
    <row r="3427" spans="3:3" x14ac:dyDescent="0.3">
      <c r="C3427" t="s">
        <v>1229</v>
      </c>
    </row>
    <row r="3428" spans="3:3" x14ac:dyDescent="0.3">
      <c r="C3428" t="s">
        <v>1224</v>
      </c>
    </row>
    <row r="3430" spans="3:3" x14ac:dyDescent="0.3">
      <c r="C3430" t="s">
        <v>1221</v>
      </c>
    </row>
    <row r="3431" spans="3:3" x14ac:dyDescent="0.3">
      <c r="C3431" t="s">
        <v>1222</v>
      </c>
    </row>
    <row r="3432" spans="3:3" x14ac:dyDescent="0.3">
      <c r="C3432" t="s">
        <v>1230</v>
      </c>
    </row>
    <row r="3433" spans="3:3" x14ac:dyDescent="0.3">
      <c r="C3433" t="s">
        <v>1224</v>
      </c>
    </row>
    <row r="3435" spans="3:3" x14ac:dyDescent="0.3">
      <c r="C3435" t="s">
        <v>1221</v>
      </c>
    </row>
    <row r="3436" spans="3:3" x14ac:dyDescent="0.3">
      <c r="C3436" t="s">
        <v>1222</v>
      </c>
    </row>
    <row r="3437" spans="3:3" x14ac:dyDescent="0.3">
      <c r="C3437" t="s">
        <v>1231</v>
      </c>
    </row>
    <row r="3438" spans="3:3" x14ac:dyDescent="0.3">
      <c r="C3438" t="s">
        <v>1224</v>
      </c>
    </row>
    <row r="3440" spans="3:3" x14ac:dyDescent="0.3">
      <c r="C3440" t="s">
        <v>1221</v>
      </c>
    </row>
    <row r="3441" spans="3:3" x14ac:dyDescent="0.3">
      <c r="C3441" t="s">
        <v>1222</v>
      </c>
    </row>
    <row r="3442" spans="3:3" x14ac:dyDescent="0.3">
      <c r="C3442" t="s">
        <v>1232</v>
      </c>
    </row>
    <row r="3443" spans="3:3" x14ac:dyDescent="0.3">
      <c r="C3443" t="s">
        <v>1224</v>
      </c>
    </row>
    <row r="3446" spans="3:3" x14ac:dyDescent="0.3">
      <c r="C3446" t="s">
        <v>323</v>
      </c>
    </row>
    <row r="3448" spans="3:3" x14ac:dyDescent="0.3">
      <c r="C3448" t="s">
        <v>1233</v>
      </c>
    </row>
    <row r="3449" spans="3:3" x14ac:dyDescent="0.3">
      <c r="C3449" t="s">
        <v>1234</v>
      </c>
    </row>
    <row r="3450" spans="3:3" x14ac:dyDescent="0.3">
      <c r="C3450" t="s">
        <v>1235</v>
      </c>
    </row>
    <row r="3452" spans="3:3" x14ac:dyDescent="0.3">
      <c r="C3452" t="s">
        <v>1233</v>
      </c>
    </row>
    <row r="3453" spans="3:3" x14ac:dyDescent="0.3">
      <c r="C3453" t="s">
        <v>1236</v>
      </c>
    </row>
    <row r="3454" spans="3:3" x14ac:dyDescent="0.3">
      <c r="C3454" t="s">
        <v>1235</v>
      </c>
    </row>
    <row r="3457" spans="3:3" x14ac:dyDescent="0.3">
      <c r="C3457" t="s">
        <v>324</v>
      </c>
    </row>
    <row r="3459" spans="3:3" x14ac:dyDescent="0.3">
      <c r="C3459" t="s">
        <v>1237</v>
      </c>
    </row>
    <row r="3460" spans="3:3" x14ac:dyDescent="0.3">
      <c r="C3460" t="s">
        <v>1238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1254C-B597-47D2-9F4E-611CD6BF1807}">
  <sheetPr codeName="Planilha5"/>
  <dimension ref="A1:A2823"/>
  <sheetViews>
    <sheetView workbookViewId="0">
      <selection activeCell="A7" sqref="A7"/>
    </sheetView>
  </sheetViews>
  <sheetFormatPr defaultRowHeight="14.4" x14ac:dyDescent="0.3"/>
  <sheetData>
    <row r="1" spans="1:1" x14ac:dyDescent="0.3">
      <c r="A1">
        <v>1611</v>
      </c>
    </row>
    <row r="2" spans="1:1" x14ac:dyDescent="0.3">
      <c r="A2">
        <v>1611</v>
      </c>
    </row>
    <row r="3" spans="1:1" x14ac:dyDescent="0.3">
      <c r="A3">
        <v>1611</v>
      </c>
    </row>
    <row r="4" spans="1:1" x14ac:dyDescent="0.3">
      <c r="A4">
        <v>31611</v>
      </c>
    </row>
    <row r="5" spans="1:1" x14ac:dyDescent="0.3">
      <c r="A5">
        <v>11611</v>
      </c>
    </row>
    <row r="6" spans="1:1" x14ac:dyDescent="0.3">
      <c r="A6">
        <v>11612</v>
      </c>
    </row>
    <row r="7" spans="1:1" x14ac:dyDescent="0.3">
      <c r="A7">
        <v>11112</v>
      </c>
    </row>
    <row r="831" spans="1:1" x14ac:dyDescent="0.3">
      <c r="A831" s="1"/>
    </row>
    <row r="1079" spans="1:1" x14ac:dyDescent="0.3">
      <c r="A1079" s="1"/>
    </row>
    <row r="1080" spans="1:1" x14ac:dyDescent="0.3">
      <c r="A1080" s="1"/>
    </row>
    <row r="1086" spans="1:1" x14ac:dyDescent="0.3">
      <c r="A1086" s="1"/>
    </row>
    <row r="1087" spans="1:1" x14ac:dyDescent="0.3">
      <c r="A1087" s="1"/>
    </row>
    <row r="1094" spans="1:1" x14ac:dyDescent="0.3">
      <c r="A1094" s="1"/>
    </row>
    <row r="1107" spans="1:1" x14ac:dyDescent="0.3">
      <c r="A1107" s="1"/>
    </row>
    <row r="1108" spans="1:1" x14ac:dyDescent="0.3">
      <c r="A1108" s="1"/>
    </row>
    <row r="1114" spans="1:1" x14ac:dyDescent="0.3">
      <c r="A1114" s="1"/>
    </row>
    <row r="1152" spans="1:1" x14ac:dyDescent="0.3">
      <c r="A1152" s="1"/>
    </row>
    <row r="1155" spans="1:1" x14ac:dyDescent="0.3">
      <c r="A1155" s="1"/>
    </row>
    <row r="1170" spans="1:1" x14ac:dyDescent="0.3">
      <c r="A1170" s="1"/>
    </row>
    <row r="1173" spans="1:1" x14ac:dyDescent="0.3">
      <c r="A1173" s="1"/>
    </row>
    <row r="1397" spans="1:1" x14ac:dyDescent="0.3">
      <c r="A1397" s="1"/>
    </row>
    <row r="1400" spans="1:1" x14ac:dyDescent="0.3">
      <c r="A1400" s="1"/>
    </row>
    <row r="1415" spans="1:1" x14ac:dyDescent="0.3">
      <c r="A1415" s="1"/>
    </row>
    <row r="1416" spans="1:1" x14ac:dyDescent="0.3">
      <c r="A1416" s="1"/>
    </row>
    <row r="1418" spans="1:1" x14ac:dyDescent="0.3">
      <c r="A1418" s="1"/>
    </row>
    <row r="1419" spans="1:1" x14ac:dyDescent="0.3">
      <c r="A1419" s="1"/>
    </row>
    <row r="1422" spans="1:1" x14ac:dyDescent="0.3">
      <c r="A1422" s="1"/>
    </row>
    <row r="1425" spans="1:1" x14ac:dyDescent="0.3">
      <c r="A1425" s="1"/>
    </row>
    <row r="1440" spans="1:1" x14ac:dyDescent="0.3">
      <c r="A1440" s="1"/>
    </row>
    <row r="1443" spans="1:1" x14ac:dyDescent="0.3">
      <c r="A1443" s="1"/>
    </row>
    <row r="1463" spans="1:1" x14ac:dyDescent="0.3">
      <c r="A1463" s="1"/>
    </row>
    <row r="1466" spans="1:1" x14ac:dyDescent="0.3">
      <c r="A1466" s="1"/>
    </row>
    <row r="1469" spans="1:1" x14ac:dyDescent="0.3">
      <c r="A1469" s="1"/>
    </row>
    <row r="1470" spans="1:1" x14ac:dyDescent="0.3">
      <c r="A1470" s="1"/>
    </row>
    <row r="1472" spans="1:1" x14ac:dyDescent="0.3">
      <c r="A1472" s="1"/>
    </row>
    <row r="1473" spans="1:1" x14ac:dyDescent="0.3">
      <c r="A1473" s="1"/>
    </row>
    <row r="1493" spans="1:1" x14ac:dyDescent="0.3">
      <c r="A1493" s="1"/>
    </row>
    <row r="1496" spans="1:1" x14ac:dyDescent="0.3">
      <c r="A1496" s="1"/>
    </row>
    <row r="1511" spans="1:1" x14ac:dyDescent="0.3">
      <c r="A1511" s="1"/>
    </row>
    <row r="1512" spans="1:1" x14ac:dyDescent="0.3">
      <c r="A1512" s="1"/>
    </row>
    <row r="1514" spans="1:1" x14ac:dyDescent="0.3">
      <c r="A1514" s="1"/>
    </row>
    <row r="1521" spans="1:1" x14ac:dyDescent="0.3">
      <c r="A1521" s="1"/>
    </row>
    <row r="1535" spans="1:1" x14ac:dyDescent="0.3">
      <c r="A1535" s="1"/>
    </row>
    <row r="1538" spans="1:1" x14ac:dyDescent="0.3">
      <c r="A1538" s="1"/>
    </row>
    <row r="1539" spans="1:1" x14ac:dyDescent="0.3">
      <c r="A1539" s="1"/>
    </row>
    <row r="1542" spans="1:1" x14ac:dyDescent="0.3">
      <c r="A1542" s="1"/>
    </row>
    <row r="1565" spans="1:1" x14ac:dyDescent="0.3">
      <c r="A1565" s="1"/>
    </row>
    <row r="1568" spans="1:1" x14ac:dyDescent="0.3">
      <c r="A1568" s="1"/>
    </row>
    <row r="1584" spans="1:1" x14ac:dyDescent="0.3">
      <c r="A1584" s="1"/>
    </row>
    <row r="1587" spans="1:1" x14ac:dyDescent="0.3">
      <c r="A1587" s="1"/>
    </row>
    <row r="1607" spans="1:1" x14ac:dyDescent="0.3">
      <c r="A1607" s="1"/>
    </row>
    <row r="1610" spans="1:1" x14ac:dyDescent="0.3">
      <c r="A1610" s="1"/>
    </row>
    <row r="1613" spans="1:1" x14ac:dyDescent="0.3">
      <c r="A1613" s="1"/>
    </row>
    <row r="1614" spans="1:1" x14ac:dyDescent="0.3">
      <c r="A1614" s="1"/>
    </row>
    <row r="1616" spans="1:1" x14ac:dyDescent="0.3">
      <c r="A1616" s="1"/>
    </row>
    <row r="1617" spans="1:1" x14ac:dyDescent="0.3">
      <c r="A1617" s="1"/>
    </row>
    <row r="1631" spans="1:1" x14ac:dyDescent="0.3">
      <c r="A1631" s="1"/>
    </row>
    <row r="1632" spans="1:1" x14ac:dyDescent="0.3">
      <c r="A1632" s="1"/>
    </row>
    <row r="1634" spans="1:1" x14ac:dyDescent="0.3">
      <c r="A1634" s="1"/>
    </row>
    <row r="1635" spans="1:1" x14ac:dyDescent="0.3">
      <c r="A1635" s="1"/>
    </row>
    <row r="1638" spans="1:1" x14ac:dyDescent="0.3">
      <c r="A1638" s="1"/>
    </row>
    <row r="1641" spans="1:1" x14ac:dyDescent="0.3">
      <c r="A1641" s="1"/>
    </row>
    <row r="1656" spans="1:1" x14ac:dyDescent="0.3">
      <c r="A1656" s="1"/>
    </row>
    <row r="1659" spans="1:1" x14ac:dyDescent="0.3">
      <c r="A1659" s="1"/>
    </row>
    <row r="1662" spans="1:1" x14ac:dyDescent="0.3">
      <c r="A1662" s="1"/>
    </row>
    <row r="1665" spans="1:1" x14ac:dyDescent="0.3">
      <c r="A1665" s="1"/>
    </row>
    <row r="1679" spans="1:1" x14ac:dyDescent="0.3">
      <c r="A1679" s="1"/>
    </row>
    <row r="1680" spans="1:1" x14ac:dyDescent="0.3">
      <c r="A1680" s="1"/>
    </row>
    <row r="1682" spans="1:1" x14ac:dyDescent="0.3">
      <c r="A1682" s="1"/>
    </row>
    <row r="1689" spans="1:1" x14ac:dyDescent="0.3">
      <c r="A1689" s="1"/>
    </row>
    <row r="1703" spans="1:1" x14ac:dyDescent="0.3">
      <c r="A1703" s="1"/>
    </row>
    <row r="1706" spans="1:1" x14ac:dyDescent="0.3">
      <c r="A1706" s="1"/>
    </row>
    <row r="1707" spans="1:1" x14ac:dyDescent="0.3">
      <c r="A1707" s="1"/>
    </row>
    <row r="1710" spans="1:1" x14ac:dyDescent="0.3">
      <c r="A1710" s="1"/>
    </row>
    <row r="1728" spans="1:1" x14ac:dyDescent="0.3">
      <c r="A1728" s="1"/>
    </row>
    <row r="1731" spans="1:1" x14ac:dyDescent="0.3">
      <c r="A1731" s="1"/>
    </row>
    <row r="1734" spans="1:1" x14ac:dyDescent="0.3">
      <c r="A1734" s="1"/>
    </row>
    <row r="1737" spans="1:1" x14ac:dyDescent="0.3">
      <c r="A1737" s="1"/>
    </row>
    <row r="1752" spans="1:1" x14ac:dyDescent="0.3">
      <c r="A1752" s="1"/>
    </row>
    <row r="1755" spans="1:1" x14ac:dyDescent="0.3">
      <c r="A1755" s="1"/>
    </row>
    <row r="1806" spans="1:1" x14ac:dyDescent="0.3">
      <c r="A1806" s="1"/>
    </row>
    <row r="1809" spans="1:1" x14ac:dyDescent="0.3">
      <c r="A1809" s="1"/>
    </row>
    <row r="1824" spans="1:1" x14ac:dyDescent="0.3">
      <c r="A1824" s="1"/>
    </row>
    <row r="1833" spans="1:1" x14ac:dyDescent="0.3">
      <c r="A1833" s="1"/>
    </row>
    <row r="1851" spans="1:1" x14ac:dyDescent="0.3">
      <c r="A1851" s="1"/>
    </row>
    <row r="1854" spans="1:1" x14ac:dyDescent="0.3">
      <c r="A1854" s="1"/>
    </row>
    <row r="1895" spans="1:1" x14ac:dyDescent="0.3">
      <c r="A1895" s="1"/>
    </row>
    <row r="1898" spans="1:1" x14ac:dyDescent="0.3">
      <c r="A1898" s="1"/>
    </row>
    <row r="1925" spans="1:1" x14ac:dyDescent="0.3">
      <c r="A1925" s="1"/>
    </row>
    <row r="1928" spans="1:1" x14ac:dyDescent="0.3">
      <c r="A1928" s="1"/>
    </row>
    <row r="1931" spans="1:1" x14ac:dyDescent="0.3">
      <c r="A1931" s="1"/>
    </row>
    <row r="1934" spans="1:1" x14ac:dyDescent="0.3">
      <c r="A1934" s="1"/>
    </row>
    <row r="1949" spans="1:1" x14ac:dyDescent="0.3">
      <c r="A1949" s="1"/>
    </row>
    <row r="1952" spans="1:1" x14ac:dyDescent="0.3">
      <c r="A1952" s="1"/>
    </row>
    <row r="1970" spans="1:1" x14ac:dyDescent="0.3">
      <c r="A1970" s="1"/>
    </row>
    <row r="1976" spans="1:1" x14ac:dyDescent="0.3">
      <c r="A1976" s="1"/>
    </row>
    <row r="1991" spans="1:1" x14ac:dyDescent="0.3">
      <c r="A1991" s="1"/>
    </row>
    <row r="2000" spans="1:1" x14ac:dyDescent="0.3">
      <c r="A2000" s="1"/>
    </row>
    <row r="2015" spans="1:1" x14ac:dyDescent="0.3">
      <c r="A2015" s="1"/>
    </row>
    <row r="2016" spans="1:1" x14ac:dyDescent="0.3">
      <c r="A2016" s="1"/>
    </row>
    <row r="2018" spans="1:1" x14ac:dyDescent="0.3">
      <c r="A2018" s="1"/>
    </row>
    <row r="2025" spans="1:1" x14ac:dyDescent="0.3">
      <c r="A2025" s="1"/>
    </row>
    <row r="2039" spans="1:1" x14ac:dyDescent="0.3">
      <c r="A2039" s="1"/>
    </row>
    <row r="2040" spans="1:1" x14ac:dyDescent="0.3">
      <c r="A2040" s="1"/>
    </row>
    <row r="2042" spans="1:1" x14ac:dyDescent="0.3">
      <c r="A2042" s="1"/>
    </row>
    <row r="2043" spans="1:1" x14ac:dyDescent="0.3">
      <c r="A2043" s="1"/>
    </row>
    <row r="2046" spans="1:1" x14ac:dyDescent="0.3">
      <c r="A2046" s="1"/>
    </row>
    <row r="2049" spans="1:1" x14ac:dyDescent="0.3">
      <c r="A2049" s="1"/>
    </row>
    <row r="2065" spans="1:1" x14ac:dyDescent="0.3">
      <c r="A2065" s="1"/>
    </row>
    <row r="2088" spans="1:1" x14ac:dyDescent="0.3">
      <c r="A2088" s="1"/>
    </row>
    <row r="2089" spans="1:1" x14ac:dyDescent="0.3">
      <c r="A2089" s="1"/>
    </row>
    <row r="2090" spans="1:1" x14ac:dyDescent="0.3">
      <c r="A2090" s="1"/>
    </row>
    <row r="2091" spans="1:1" x14ac:dyDescent="0.3">
      <c r="A2091" s="1"/>
    </row>
    <row r="2094" spans="1:1" x14ac:dyDescent="0.3">
      <c r="A2094" s="1"/>
    </row>
    <row r="2109" spans="1:1" x14ac:dyDescent="0.3">
      <c r="A2109" s="1"/>
    </row>
    <row r="2110" spans="1:1" x14ac:dyDescent="0.3">
      <c r="A2110" s="1"/>
    </row>
    <row r="2112" spans="1:1" x14ac:dyDescent="0.3">
      <c r="A2112" s="1"/>
    </row>
    <row r="2134" spans="1:1" x14ac:dyDescent="0.3">
      <c r="A2134" s="1"/>
    </row>
    <row r="2138" spans="1:1" x14ac:dyDescent="0.3">
      <c r="A2138" s="1"/>
    </row>
    <row r="2155" spans="1:1" x14ac:dyDescent="0.3">
      <c r="A2155" s="1"/>
    </row>
    <row r="2156" spans="1:1" x14ac:dyDescent="0.3">
      <c r="A2156" s="1"/>
    </row>
    <row r="2159" spans="1:1" x14ac:dyDescent="0.3">
      <c r="A2159" s="1"/>
    </row>
    <row r="2160" spans="1:1" x14ac:dyDescent="0.3">
      <c r="A2160" s="1"/>
    </row>
    <row r="2163" spans="1:1" x14ac:dyDescent="0.3">
      <c r="A2163" s="1"/>
    </row>
    <row r="2227" spans="1:1" x14ac:dyDescent="0.3">
      <c r="A2227" s="1"/>
    </row>
    <row r="2251" spans="1:1" x14ac:dyDescent="0.3">
      <c r="A2251" s="1"/>
    </row>
    <row r="2278" spans="1:1" x14ac:dyDescent="0.3">
      <c r="A2278" s="1"/>
    </row>
    <row r="2326" spans="1:1" x14ac:dyDescent="0.3">
      <c r="A2326" s="1"/>
    </row>
    <row r="2329" spans="1:1" x14ac:dyDescent="0.3">
      <c r="A2329" s="1"/>
    </row>
    <row r="2348" spans="1:1" x14ac:dyDescent="0.3">
      <c r="A2348" s="1"/>
    </row>
    <row r="2351" spans="1:1" x14ac:dyDescent="0.3">
      <c r="A2351" s="1"/>
    </row>
    <row r="2354" spans="1:1" x14ac:dyDescent="0.3">
      <c r="A2354" s="1"/>
    </row>
    <row r="2357" spans="1:1" x14ac:dyDescent="0.3">
      <c r="A2357" s="1"/>
    </row>
    <row r="2371" spans="1:1" x14ac:dyDescent="0.3">
      <c r="A2371" s="1"/>
    </row>
    <row r="2374" spans="1:1" x14ac:dyDescent="0.3">
      <c r="A2374" s="1"/>
    </row>
    <row r="2377" spans="1:1" x14ac:dyDescent="0.3">
      <c r="A2377" s="1"/>
    </row>
    <row r="2380" spans="1:1" x14ac:dyDescent="0.3">
      <c r="A2380" s="1"/>
    </row>
    <row r="2462" spans="1:1" x14ac:dyDescent="0.3">
      <c r="A2462" s="1"/>
    </row>
    <row r="2465" spans="1:1" x14ac:dyDescent="0.3">
      <c r="A2465" s="1"/>
    </row>
    <row r="2468" spans="1:1" x14ac:dyDescent="0.3">
      <c r="A2468" s="1"/>
    </row>
    <row r="2471" spans="1:1" x14ac:dyDescent="0.3">
      <c r="A2471" s="1"/>
    </row>
    <row r="2509" spans="1:1" x14ac:dyDescent="0.3">
      <c r="A2509" s="1"/>
    </row>
    <row r="2512" spans="1:1" x14ac:dyDescent="0.3">
      <c r="A2512" s="1"/>
    </row>
    <row r="2515" spans="1:1" x14ac:dyDescent="0.3">
      <c r="A2515" s="1"/>
    </row>
    <row r="2518" spans="1:1" x14ac:dyDescent="0.3">
      <c r="A2518" s="1"/>
    </row>
    <row r="2577" spans="1:1" x14ac:dyDescent="0.3">
      <c r="A2577" s="1"/>
    </row>
    <row r="2580" spans="1:1" x14ac:dyDescent="0.3">
      <c r="A2580" s="1"/>
    </row>
    <row r="2583" spans="1:1" x14ac:dyDescent="0.3">
      <c r="A2583" s="1"/>
    </row>
    <row r="2584" spans="1:1" x14ac:dyDescent="0.3">
      <c r="A2584" s="1"/>
    </row>
    <row r="2586" spans="1:1" x14ac:dyDescent="0.3">
      <c r="A2586" s="1"/>
    </row>
    <row r="2587" spans="1:1" x14ac:dyDescent="0.3">
      <c r="A2587" s="1"/>
    </row>
    <row r="2673" spans="1:1" x14ac:dyDescent="0.3">
      <c r="A2673" s="1"/>
    </row>
    <row r="2674" spans="1:1" x14ac:dyDescent="0.3">
      <c r="A2674" s="1"/>
    </row>
    <row r="2677" spans="1:1" x14ac:dyDescent="0.3">
      <c r="A2677" s="1"/>
    </row>
    <row r="2678" spans="1:1" x14ac:dyDescent="0.3">
      <c r="A2678" s="1"/>
    </row>
    <row r="2681" spans="1:1" x14ac:dyDescent="0.3">
      <c r="A2681" s="1"/>
    </row>
    <row r="2682" spans="1:1" x14ac:dyDescent="0.3">
      <c r="A2682" s="1"/>
    </row>
    <row r="2685" spans="1:1" x14ac:dyDescent="0.3">
      <c r="A2685" s="1"/>
    </row>
    <row r="2692" spans="1:1" x14ac:dyDescent="0.3">
      <c r="A2692" s="1"/>
    </row>
    <row r="2694" spans="1:1" x14ac:dyDescent="0.3">
      <c r="A2694" s="1"/>
    </row>
    <row r="2695" spans="1:1" x14ac:dyDescent="0.3">
      <c r="A2695" s="1"/>
    </row>
    <row r="2702" spans="1:1" x14ac:dyDescent="0.3">
      <c r="A2702" s="1"/>
    </row>
    <row r="2705" spans="1:1" x14ac:dyDescent="0.3">
      <c r="A2705" s="1"/>
    </row>
    <row r="2707" spans="1:1" x14ac:dyDescent="0.3">
      <c r="A2707" s="1"/>
    </row>
    <row r="2708" spans="1:1" x14ac:dyDescent="0.3">
      <c r="A2708" s="1"/>
    </row>
    <row r="2710" spans="1:1" x14ac:dyDescent="0.3">
      <c r="A2710" s="1"/>
    </row>
    <row r="2711" spans="1:1" x14ac:dyDescent="0.3">
      <c r="A2711" s="1"/>
    </row>
    <row r="2713" spans="1:1" x14ac:dyDescent="0.3">
      <c r="A2713" s="1"/>
    </row>
    <row r="2714" spans="1:1" x14ac:dyDescent="0.3">
      <c r="A2714" s="1"/>
    </row>
    <row r="2715" spans="1:1" x14ac:dyDescent="0.3">
      <c r="A2715" s="1"/>
    </row>
    <row r="2716" spans="1:1" x14ac:dyDescent="0.3">
      <c r="A2716" s="1"/>
    </row>
    <row r="2717" spans="1:1" x14ac:dyDescent="0.3">
      <c r="A2717" s="1"/>
    </row>
    <row r="2718" spans="1:1" x14ac:dyDescent="0.3">
      <c r="A2718" s="1"/>
    </row>
    <row r="2720" spans="1:1" x14ac:dyDescent="0.3">
      <c r="A2720" s="1"/>
    </row>
    <row r="2721" spans="1:1" x14ac:dyDescent="0.3">
      <c r="A2721" s="1"/>
    </row>
    <row r="2723" spans="1:1" x14ac:dyDescent="0.3">
      <c r="A2723" s="1"/>
    </row>
    <row r="2724" spans="1:1" x14ac:dyDescent="0.3">
      <c r="A2724" s="1"/>
    </row>
    <row r="2725" spans="1:1" x14ac:dyDescent="0.3">
      <c r="A2725" s="1"/>
    </row>
    <row r="2726" spans="1:1" x14ac:dyDescent="0.3">
      <c r="A2726" s="1"/>
    </row>
    <row r="2727" spans="1:1" x14ac:dyDescent="0.3">
      <c r="A2727" s="1"/>
    </row>
    <row r="2728" spans="1:1" x14ac:dyDescent="0.3">
      <c r="A2728" s="1"/>
    </row>
    <row r="2729" spans="1:1" x14ac:dyDescent="0.3">
      <c r="A2729" s="1"/>
    </row>
    <row r="2730" spans="1:1" x14ac:dyDescent="0.3">
      <c r="A2730" s="1"/>
    </row>
    <row r="2732" spans="1:1" x14ac:dyDescent="0.3">
      <c r="A2732" s="1"/>
    </row>
    <row r="2733" spans="1:1" x14ac:dyDescent="0.3">
      <c r="A2733" s="1"/>
    </row>
    <row r="2735" spans="1:1" x14ac:dyDescent="0.3">
      <c r="A2735" s="1"/>
    </row>
    <row r="2736" spans="1:1" x14ac:dyDescent="0.3">
      <c r="A2736" s="1"/>
    </row>
    <row r="2737" spans="1:1" x14ac:dyDescent="0.3">
      <c r="A2737" s="1"/>
    </row>
    <row r="2738" spans="1:1" x14ac:dyDescent="0.3">
      <c r="A2738" s="1"/>
    </row>
    <row r="2740" spans="1:1" x14ac:dyDescent="0.3">
      <c r="A2740" s="1"/>
    </row>
    <row r="2741" spans="1:1" x14ac:dyDescent="0.3">
      <c r="A2741" s="1"/>
    </row>
    <row r="2794" spans="1:1" x14ac:dyDescent="0.3">
      <c r="A2794" s="1"/>
    </row>
    <row r="2795" spans="1:1" x14ac:dyDescent="0.3">
      <c r="A2795" s="1"/>
    </row>
    <row r="2796" spans="1:1" x14ac:dyDescent="0.3">
      <c r="A2796" s="1"/>
    </row>
    <row r="2797" spans="1:1" x14ac:dyDescent="0.3">
      <c r="A2797" s="1"/>
    </row>
    <row r="2798" spans="1:1" x14ac:dyDescent="0.3">
      <c r="A2798" s="1"/>
    </row>
    <row r="2799" spans="1:1" x14ac:dyDescent="0.3">
      <c r="A2799" s="1"/>
    </row>
    <row r="2800" spans="1:1" x14ac:dyDescent="0.3">
      <c r="A2800" s="1"/>
    </row>
    <row r="2801" spans="1:1" x14ac:dyDescent="0.3">
      <c r="A2801" s="1"/>
    </row>
    <row r="2802" spans="1:1" x14ac:dyDescent="0.3">
      <c r="A2802" s="1"/>
    </row>
    <row r="2803" spans="1:1" x14ac:dyDescent="0.3">
      <c r="A2803" s="1"/>
    </row>
    <row r="2804" spans="1:1" x14ac:dyDescent="0.3">
      <c r="A2804" s="1"/>
    </row>
    <row r="2805" spans="1:1" x14ac:dyDescent="0.3">
      <c r="A2805" s="1"/>
    </row>
    <row r="2823" spans="1:1" x14ac:dyDescent="0.3">
      <c r="A2823" s="1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5F8CA-6E4B-4D48-B1A8-CB404A7E3467}">
  <sheetPr codeName="Planilha8"/>
  <dimension ref="A1:B3461"/>
  <sheetViews>
    <sheetView workbookViewId="0">
      <selection activeCell="B1" sqref="B1:B3460"/>
    </sheetView>
  </sheetViews>
  <sheetFormatPr defaultRowHeight="14.4" x14ac:dyDescent="0.3"/>
  <cols>
    <col min="2" max="2" width="12" bestFit="1" customWidth="1"/>
  </cols>
  <sheetData>
    <row r="1" spans="1:2" x14ac:dyDescent="0.3">
      <c r="B1" t="s">
        <v>24</v>
      </c>
    </row>
    <row r="2" spans="1:2" x14ac:dyDescent="0.3">
      <c r="B2" t="s">
        <v>25</v>
      </c>
    </row>
    <row r="4" spans="1:2" x14ac:dyDescent="0.3">
      <c r="B4" t="s">
        <v>26</v>
      </c>
    </row>
    <row r="5" spans="1:2" x14ac:dyDescent="0.3">
      <c r="B5" t="s">
        <v>27</v>
      </c>
    </row>
    <row r="7" spans="1:2" x14ac:dyDescent="0.3">
      <c r="A7" t="s">
        <v>1243</v>
      </c>
    </row>
    <row r="8" spans="1:2" x14ac:dyDescent="0.3">
      <c r="B8" t="s">
        <v>28</v>
      </c>
    </row>
    <row r="10" spans="1:2" x14ac:dyDescent="0.3">
      <c r="B10" t="s">
        <v>444</v>
      </c>
    </row>
    <row r="11" spans="1:2" x14ac:dyDescent="0.3">
      <c r="B11" t="s">
        <v>445</v>
      </c>
    </row>
    <row r="14" spans="1:2" x14ac:dyDescent="0.3">
      <c r="B14" t="s">
        <v>29</v>
      </c>
    </row>
    <row r="16" spans="1:2" x14ac:dyDescent="0.3">
      <c r="B16" t="s">
        <v>446</v>
      </c>
    </row>
    <row r="17" spans="2:2" x14ac:dyDescent="0.3">
      <c r="B17" t="s">
        <v>447</v>
      </c>
    </row>
    <row r="18" spans="2:2" x14ac:dyDescent="0.3">
      <c r="B18" t="s">
        <v>448</v>
      </c>
    </row>
    <row r="19" spans="2:2" x14ac:dyDescent="0.3">
      <c r="B19" t="s">
        <v>449</v>
      </c>
    </row>
    <row r="20" spans="2:2" x14ac:dyDescent="0.3">
      <c r="B20" t="s">
        <v>450</v>
      </c>
    </row>
    <row r="21" spans="2:2" x14ac:dyDescent="0.3">
      <c r="B21" t="s">
        <v>451</v>
      </c>
    </row>
    <row r="24" spans="2:2" x14ac:dyDescent="0.3">
      <c r="B24" t="s">
        <v>22</v>
      </c>
    </row>
    <row r="26" spans="2:2" x14ac:dyDescent="0.3">
      <c r="B26" t="s">
        <v>0</v>
      </c>
    </row>
    <row r="27" spans="2:2" x14ac:dyDescent="0.3">
      <c r="B27" t="s">
        <v>1245</v>
      </c>
    </row>
    <row r="28" spans="2:2" x14ac:dyDescent="0.3">
      <c r="B28" t="s">
        <v>1246</v>
      </c>
    </row>
    <row r="29" spans="2:2" x14ac:dyDescent="0.3">
      <c r="B29" t="s">
        <v>1247</v>
      </c>
    </row>
    <row r="30" spans="2:2" x14ac:dyDescent="0.3">
      <c r="B30" t="s">
        <v>1248</v>
      </c>
    </row>
    <row r="31" spans="2:2" x14ac:dyDescent="0.3">
      <c r="B31" t="s">
        <v>1249</v>
      </c>
    </row>
    <row r="32" spans="2:2" x14ac:dyDescent="0.3">
      <c r="B32" t="s">
        <v>1250</v>
      </c>
    </row>
    <row r="33" spans="2:2" x14ac:dyDescent="0.3">
      <c r="B33" t="s">
        <v>1251</v>
      </c>
    </row>
    <row r="34" spans="2:2" x14ac:dyDescent="0.3">
      <c r="B34" t="s">
        <v>1252</v>
      </c>
    </row>
    <row r="37" spans="2:2" x14ac:dyDescent="0.3">
      <c r="B37" t="s">
        <v>23</v>
      </c>
    </row>
    <row r="39" spans="2:2" x14ac:dyDescent="0.3">
      <c r="B39" t="s">
        <v>452</v>
      </c>
    </row>
    <row r="40" spans="2:2" x14ac:dyDescent="0.3">
      <c r="B40" t="s">
        <v>453</v>
      </c>
    </row>
    <row r="43" spans="2:2" x14ac:dyDescent="0.3">
      <c r="B43" t="s">
        <v>30</v>
      </c>
    </row>
    <row r="45" spans="2:2" x14ac:dyDescent="0.3">
      <c r="B45" t="s">
        <v>454</v>
      </c>
    </row>
    <row r="46" spans="2:2" x14ac:dyDescent="0.3">
      <c r="B46" t="s">
        <v>455</v>
      </c>
    </row>
    <row r="47" spans="2:2" x14ac:dyDescent="0.3">
      <c r="B47" t="s">
        <v>456</v>
      </c>
    </row>
    <row r="48" spans="2:2" x14ac:dyDescent="0.3">
      <c r="B48" t="s">
        <v>457</v>
      </c>
    </row>
    <row r="49" spans="2:2" x14ac:dyDescent="0.3">
      <c r="B49" t="s">
        <v>458</v>
      </c>
    </row>
    <row r="50" spans="2:2" x14ac:dyDescent="0.3">
      <c r="B50" t="s">
        <v>459</v>
      </c>
    </row>
    <row r="51" spans="2:2" x14ac:dyDescent="0.3">
      <c r="B51" t="s">
        <v>460</v>
      </c>
    </row>
    <row r="52" spans="2:2" x14ac:dyDescent="0.3">
      <c r="B52" t="s">
        <v>461</v>
      </c>
    </row>
    <row r="53" spans="2:2" x14ac:dyDescent="0.3">
      <c r="B53" t="s">
        <v>462</v>
      </c>
    </row>
    <row r="54" spans="2:2" x14ac:dyDescent="0.3">
      <c r="B54" t="s">
        <v>463</v>
      </c>
    </row>
    <row r="55" spans="2:2" x14ac:dyDescent="0.3">
      <c r="B55" t="s">
        <v>464</v>
      </c>
    </row>
    <row r="56" spans="2:2" x14ac:dyDescent="0.3">
      <c r="B56" t="s">
        <v>465</v>
      </c>
    </row>
    <row r="57" spans="2:2" x14ac:dyDescent="0.3">
      <c r="B57" t="s">
        <v>466</v>
      </c>
    </row>
    <row r="58" spans="2:2" x14ac:dyDescent="0.3">
      <c r="B58" t="s">
        <v>467</v>
      </c>
    </row>
    <row r="61" spans="2:2" x14ac:dyDescent="0.3">
      <c r="B61" t="s">
        <v>31</v>
      </c>
    </row>
    <row r="63" spans="2:2" x14ac:dyDescent="0.3">
      <c r="B63" t="s">
        <v>468</v>
      </c>
    </row>
    <row r="64" spans="2:2" x14ac:dyDescent="0.3">
      <c r="B64" t="s">
        <v>469</v>
      </c>
    </row>
    <row r="65" spans="2:2" x14ac:dyDescent="0.3">
      <c r="B65" t="s">
        <v>470</v>
      </c>
    </row>
    <row r="66" spans="2:2" x14ac:dyDescent="0.3">
      <c r="B66" t="s">
        <v>471</v>
      </c>
    </row>
    <row r="67" spans="2:2" x14ac:dyDescent="0.3">
      <c r="B67" t="s">
        <v>472</v>
      </c>
    </row>
    <row r="68" spans="2:2" x14ac:dyDescent="0.3">
      <c r="B68" t="s">
        <v>473</v>
      </c>
    </row>
    <row r="70" spans="2:2" x14ac:dyDescent="0.3">
      <c r="B70" t="s">
        <v>468</v>
      </c>
    </row>
    <row r="71" spans="2:2" x14ac:dyDescent="0.3">
      <c r="B71" t="s">
        <v>474</v>
      </c>
    </row>
    <row r="72" spans="2:2" x14ac:dyDescent="0.3">
      <c r="B72" t="s">
        <v>470</v>
      </c>
    </row>
    <row r="73" spans="2:2" x14ac:dyDescent="0.3">
      <c r="B73" t="s">
        <v>475</v>
      </c>
    </row>
    <row r="74" spans="2:2" x14ac:dyDescent="0.3">
      <c r="B74" t="s">
        <v>476</v>
      </c>
    </row>
    <row r="75" spans="2:2" x14ac:dyDescent="0.3">
      <c r="B75" t="s">
        <v>477</v>
      </c>
    </row>
    <row r="77" spans="2:2" x14ac:dyDescent="0.3">
      <c r="B77" t="s">
        <v>468</v>
      </c>
    </row>
    <row r="78" spans="2:2" x14ac:dyDescent="0.3">
      <c r="B78" t="s">
        <v>478</v>
      </c>
    </row>
    <row r="79" spans="2:2" x14ac:dyDescent="0.3">
      <c r="B79" t="s">
        <v>479</v>
      </c>
    </row>
    <row r="80" spans="2:2" x14ac:dyDescent="0.3">
      <c r="B80" t="s">
        <v>480</v>
      </c>
    </row>
    <row r="81" spans="2:2" x14ac:dyDescent="0.3">
      <c r="B81" t="s">
        <v>481</v>
      </c>
    </row>
    <row r="84" spans="2:2" x14ac:dyDescent="0.3">
      <c r="B84" t="s">
        <v>32</v>
      </c>
    </row>
    <row r="86" spans="2:2" x14ac:dyDescent="0.3">
      <c r="B86" t="s">
        <v>482</v>
      </c>
    </row>
    <row r="87" spans="2:2" x14ac:dyDescent="0.3">
      <c r="B87" t="s">
        <v>483</v>
      </c>
    </row>
    <row r="88" spans="2:2" x14ac:dyDescent="0.3">
      <c r="B88" t="s">
        <v>484</v>
      </c>
    </row>
    <row r="89" spans="2:2" x14ac:dyDescent="0.3">
      <c r="B89" t="s">
        <v>485</v>
      </c>
    </row>
    <row r="90" spans="2:2" x14ac:dyDescent="0.3">
      <c r="B90" t="s">
        <v>486</v>
      </c>
    </row>
    <row r="91" spans="2:2" x14ac:dyDescent="0.3">
      <c r="B91" t="s">
        <v>487</v>
      </c>
    </row>
    <row r="92" spans="2:2" x14ac:dyDescent="0.3">
      <c r="B92" t="s">
        <v>488</v>
      </c>
    </row>
    <row r="94" spans="2:2" x14ac:dyDescent="0.3">
      <c r="B94" t="s">
        <v>482</v>
      </c>
    </row>
    <row r="95" spans="2:2" x14ac:dyDescent="0.3">
      <c r="B95" t="s">
        <v>489</v>
      </c>
    </row>
    <row r="96" spans="2:2" x14ac:dyDescent="0.3">
      <c r="B96" t="s">
        <v>484</v>
      </c>
    </row>
    <row r="97" spans="2:2" x14ac:dyDescent="0.3">
      <c r="B97" t="s">
        <v>490</v>
      </c>
    </row>
    <row r="98" spans="2:2" x14ac:dyDescent="0.3">
      <c r="B98" t="s">
        <v>486</v>
      </c>
    </row>
    <row r="99" spans="2:2" x14ac:dyDescent="0.3">
      <c r="B99" t="s">
        <v>491</v>
      </c>
    </row>
    <row r="100" spans="2:2" x14ac:dyDescent="0.3">
      <c r="B100" t="s">
        <v>492</v>
      </c>
    </row>
    <row r="101" spans="2:2" x14ac:dyDescent="0.3">
      <c r="B101" t="s">
        <v>493</v>
      </c>
    </row>
    <row r="102" spans="2:2" x14ac:dyDescent="0.3">
      <c r="B102" t="s">
        <v>494</v>
      </c>
    </row>
    <row r="103" spans="2:2" x14ac:dyDescent="0.3">
      <c r="B103" t="s">
        <v>495</v>
      </c>
    </row>
    <row r="104" spans="2:2" x14ac:dyDescent="0.3">
      <c r="B104" t="s">
        <v>496</v>
      </c>
    </row>
    <row r="106" spans="2:2" x14ac:dyDescent="0.3">
      <c r="B106" t="s">
        <v>482</v>
      </c>
    </row>
    <row r="107" spans="2:2" x14ac:dyDescent="0.3">
      <c r="B107" t="s">
        <v>497</v>
      </c>
    </row>
    <row r="108" spans="2:2" x14ac:dyDescent="0.3">
      <c r="B108" t="s">
        <v>484</v>
      </c>
    </row>
    <row r="109" spans="2:2" x14ac:dyDescent="0.3">
      <c r="B109" t="s">
        <v>485</v>
      </c>
    </row>
    <row r="110" spans="2:2" x14ac:dyDescent="0.3">
      <c r="B110" t="s">
        <v>486</v>
      </c>
    </row>
    <row r="111" spans="2:2" x14ac:dyDescent="0.3">
      <c r="B111" t="s">
        <v>498</v>
      </c>
    </row>
    <row r="112" spans="2:2" x14ac:dyDescent="0.3">
      <c r="B112" t="s">
        <v>499</v>
      </c>
    </row>
    <row r="113" spans="2:2" x14ac:dyDescent="0.3">
      <c r="B113" t="s">
        <v>500</v>
      </c>
    </row>
    <row r="114" spans="2:2" x14ac:dyDescent="0.3">
      <c r="B114" t="s">
        <v>501</v>
      </c>
    </row>
    <row r="115" spans="2:2" x14ac:dyDescent="0.3">
      <c r="B115" t="s">
        <v>502</v>
      </c>
    </row>
    <row r="116" spans="2:2" x14ac:dyDescent="0.3">
      <c r="B116" t="s">
        <v>503</v>
      </c>
    </row>
    <row r="117" spans="2:2" x14ac:dyDescent="0.3">
      <c r="B117" t="s">
        <v>504</v>
      </c>
    </row>
    <row r="118" spans="2:2" x14ac:dyDescent="0.3">
      <c r="B118" t="s">
        <v>505</v>
      </c>
    </row>
    <row r="120" spans="2:2" x14ac:dyDescent="0.3">
      <c r="B120" t="s">
        <v>482</v>
      </c>
    </row>
    <row r="121" spans="2:2" x14ac:dyDescent="0.3">
      <c r="B121" t="s">
        <v>506</v>
      </c>
    </row>
    <row r="122" spans="2:2" x14ac:dyDescent="0.3">
      <c r="B122" t="s">
        <v>484</v>
      </c>
    </row>
    <row r="123" spans="2:2" x14ac:dyDescent="0.3">
      <c r="B123" t="s">
        <v>485</v>
      </c>
    </row>
    <row r="124" spans="2:2" x14ac:dyDescent="0.3">
      <c r="B124" t="s">
        <v>486</v>
      </c>
    </row>
    <row r="125" spans="2:2" x14ac:dyDescent="0.3">
      <c r="B125" t="s">
        <v>507</v>
      </c>
    </row>
    <row r="126" spans="2:2" x14ac:dyDescent="0.3">
      <c r="B126" t="s">
        <v>499</v>
      </c>
    </row>
    <row r="127" spans="2:2" x14ac:dyDescent="0.3">
      <c r="B127" t="s">
        <v>508</v>
      </c>
    </row>
    <row r="128" spans="2:2" x14ac:dyDescent="0.3">
      <c r="B128" t="s">
        <v>509</v>
      </c>
    </row>
    <row r="129" spans="2:2" x14ac:dyDescent="0.3">
      <c r="B129" t="s">
        <v>502</v>
      </c>
    </row>
    <row r="130" spans="2:2" x14ac:dyDescent="0.3">
      <c r="B130" t="s">
        <v>510</v>
      </c>
    </row>
    <row r="131" spans="2:2" x14ac:dyDescent="0.3">
      <c r="B131" t="s">
        <v>511</v>
      </c>
    </row>
    <row r="132" spans="2:2" x14ac:dyDescent="0.3">
      <c r="B132" t="s">
        <v>512</v>
      </c>
    </row>
    <row r="133" spans="2:2" x14ac:dyDescent="0.3">
      <c r="B133" t="s">
        <v>513</v>
      </c>
    </row>
    <row r="134" spans="2:2" x14ac:dyDescent="0.3">
      <c r="B134" t="s">
        <v>514</v>
      </c>
    </row>
    <row r="136" spans="2:2" x14ac:dyDescent="0.3">
      <c r="B136" t="s">
        <v>482</v>
      </c>
    </row>
    <row r="137" spans="2:2" x14ac:dyDescent="0.3">
      <c r="B137" t="s">
        <v>515</v>
      </c>
    </row>
    <row r="138" spans="2:2" x14ac:dyDescent="0.3">
      <c r="B138" t="s">
        <v>484</v>
      </c>
    </row>
    <row r="139" spans="2:2" x14ac:dyDescent="0.3">
      <c r="B139" t="s">
        <v>485</v>
      </c>
    </row>
    <row r="140" spans="2:2" x14ac:dyDescent="0.3">
      <c r="B140" t="s">
        <v>486</v>
      </c>
    </row>
    <row r="141" spans="2:2" x14ac:dyDescent="0.3">
      <c r="B141" t="s">
        <v>516</v>
      </c>
    </row>
    <row r="142" spans="2:2" x14ac:dyDescent="0.3">
      <c r="B142" t="s">
        <v>499</v>
      </c>
    </row>
    <row r="143" spans="2:2" x14ac:dyDescent="0.3">
      <c r="B143" t="s">
        <v>493</v>
      </c>
    </row>
    <row r="144" spans="2:2" x14ac:dyDescent="0.3">
      <c r="B144" t="s">
        <v>509</v>
      </c>
    </row>
    <row r="145" spans="2:2" x14ac:dyDescent="0.3">
      <c r="B145" t="s">
        <v>495</v>
      </c>
    </row>
    <row r="146" spans="2:2" x14ac:dyDescent="0.3">
      <c r="B146" t="s">
        <v>517</v>
      </c>
    </row>
    <row r="148" spans="2:2" x14ac:dyDescent="0.3">
      <c r="B148" t="s">
        <v>482</v>
      </c>
    </row>
    <row r="149" spans="2:2" x14ac:dyDescent="0.3">
      <c r="B149" t="s">
        <v>518</v>
      </c>
    </row>
    <row r="150" spans="2:2" x14ac:dyDescent="0.3">
      <c r="B150" t="s">
        <v>484</v>
      </c>
    </row>
    <row r="151" spans="2:2" x14ac:dyDescent="0.3">
      <c r="B151" t="s">
        <v>490</v>
      </c>
    </row>
    <row r="152" spans="2:2" x14ac:dyDescent="0.3">
      <c r="B152" t="s">
        <v>486</v>
      </c>
    </row>
    <row r="153" spans="2:2" x14ac:dyDescent="0.3">
      <c r="B153" t="s">
        <v>487</v>
      </c>
    </row>
    <row r="154" spans="2:2" x14ac:dyDescent="0.3">
      <c r="B154" t="s">
        <v>519</v>
      </c>
    </row>
    <row r="156" spans="2:2" x14ac:dyDescent="0.3">
      <c r="B156" t="s">
        <v>482</v>
      </c>
    </row>
    <row r="157" spans="2:2" x14ac:dyDescent="0.3">
      <c r="B157" t="s">
        <v>520</v>
      </c>
    </row>
    <row r="158" spans="2:2" x14ac:dyDescent="0.3">
      <c r="B158" t="s">
        <v>484</v>
      </c>
    </row>
    <row r="159" spans="2:2" x14ac:dyDescent="0.3">
      <c r="B159" t="s">
        <v>490</v>
      </c>
    </row>
    <row r="160" spans="2:2" x14ac:dyDescent="0.3">
      <c r="B160" t="s">
        <v>486</v>
      </c>
    </row>
    <row r="161" spans="2:2" x14ac:dyDescent="0.3">
      <c r="B161" t="s">
        <v>487</v>
      </c>
    </row>
    <row r="162" spans="2:2" x14ac:dyDescent="0.3">
      <c r="B162" t="s">
        <v>521</v>
      </c>
    </row>
    <row r="164" spans="2:2" x14ac:dyDescent="0.3">
      <c r="B164" t="s">
        <v>482</v>
      </c>
    </row>
    <row r="165" spans="2:2" x14ac:dyDescent="0.3">
      <c r="B165" t="s">
        <v>522</v>
      </c>
    </row>
    <row r="166" spans="2:2" x14ac:dyDescent="0.3">
      <c r="B166" t="s">
        <v>484</v>
      </c>
    </row>
    <row r="167" spans="2:2" x14ac:dyDescent="0.3">
      <c r="B167" t="s">
        <v>485</v>
      </c>
    </row>
    <row r="168" spans="2:2" x14ac:dyDescent="0.3">
      <c r="B168" t="s">
        <v>486</v>
      </c>
    </row>
    <row r="169" spans="2:2" x14ac:dyDescent="0.3">
      <c r="B169" t="s">
        <v>523</v>
      </c>
    </row>
    <row r="170" spans="2:2" x14ac:dyDescent="0.3">
      <c r="B170" t="s">
        <v>499</v>
      </c>
    </row>
    <row r="171" spans="2:2" x14ac:dyDescent="0.3">
      <c r="B171" t="s">
        <v>524</v>
      </c>
    </row>
    <row r="172" spans="2:2" x14ac:dyDescent="0.3">
      <c r="B172" t="s">
        <v>509</v>
      </c>
    </row>
    <row r="173" spans="2:2" x14ac:dyDescent="0.3">
      <c r="B173" t="s">
        <v>495</v>
      </c>
    </row>
    <row r="174" spans="2:2" x14ac:dyDescent="0.3">
      <c r="B174" t="s">
        <v>517</v>
      </c>
    </row>
    <row r="176" spans="2:2" x14ac:dyDescent="0.3">
      <c r="B176" t="s">
        <v>482</v>
      </c>
    </row>
    <row r="177" spans="2:2" x14ac:dyDescent="0.3">
      <c r="B177" t="s">
        <v>525</v>
      </c>
    </row>
    <row r="178" spans="2:2" x14ac:dyDescent="0.3">
      <c r="B178" t="s">
        <v>526</v>
      </c>
    </row>
    <row r="179" spans="2:2" x14ac:dyDescent="0.3">
      <c r="B179" t="s">
        <v>490</v>
      </c>
    </row>
    <row r="180" spans="2:2" x14ac:dyDescent="0.3">
      <c r="B180" t="s">
        <v>527</v>
      </c>
    </row>
    <row r="181" spans="2:2" x14ac:dyDescent="0.3">
      <c r="B181" t="s">
        <v>528</v>
      </c>
    </row>
    <row r="182" spans="2:2" x14ac:dyDescent="0.3">
      <c r="B182" t="s">
        <v>499</v>
      </c>
    </row>
    <row r="183" spans="2:2" x14ac:dyDescent="0.3">
      <c r="B183" t="s">
        <v>529</v>
      </c>
    </row>
    <row r="184" spans="2:2" x14ac:dyDescent="0.3">
      <c r="B184" t="s">
        <v>509</v>
      </c>
    </row>
    <row r="185" spans="2:2" x14ac:dyDescent="0.3">
      <c r="B185" t="s">
        <v>495</v>
      </c>
    </row>
    <row r="186" spans="2:2" x14ac:dyDescent="0.3">
      <c r="B186" t="s">
        <v>510</v>
      </c>
    </row>
    <row r="187" spans="2:2" x14ac:dyDescent="0.3">
      <c r="B187" t="s">
        <v>530</v>
      </c>
    </row>
    <row r="188" spans="2:2" x14ac:dyDescent="0.3">
      <c r="B188" t="s">
        <v>531</v>
      </c>
    </row>
    <row r="189" spans="2:2" x14ac:dyDescent="0.3">
      <c r="B189" t="s">
        <v>532</v>
      </c>
    </row>
    <row r="190" spans="2:2" x14ac:dyDescent="0.3">
      <c r="B190" t="s">
        <v>533</v>
      </c>
    </row>
    <row r="191" spans="2:2" x14ac:dyDescent="0.3">
      <c r="B191" t="s">
        <v>534</v>
      </c>
    </row>
    <row r="192" spans="2:2" x14ac:dyDescent="0.3">
      <c r="B192" t="s">
        <v>535</v>
      </c>
    </row>
    <row r="193" spans="2:2" x14ac:dyDescent="0.3">
      <c r="B193" t="s">
        <v>536</v>
      </c>
    </row>
    <row r="195" spans="2:2" x14ac:dyDescent="0.3">
      <c r="B195" t="s">
        <v>482</v>
      </c>
    </row>
    <row r="196" spans="2:2" x14ac:dyDescent="0.3">
      <c r="B196" t="s">
        <v>537</v>
      </c>
    </row>
    <row r="197" spans="2:2" x14ac:dyDescent="0.3">
      <c r="B197" t="s">
        <v>526</v>
      </c>
    </row>
    <row r="198" spans="2:2" x14ac:dyDescent="0.3">
      <c r="B198" t="s">
        <v>490</v>
      </c>
    </row>
    <row r="199" spans="2:2" x14ac:dyDescent="0.3">
      <c r="B199" t="s">
        <v>527</v>
      </c>
    </row>
    <row r="200" spans="2:2" x14ac:dyDescent="0.3">
      <c r="B200" t="s">
        <v>528</v>
      </c>
    </row>
    <row r="201" spans="2:2" x14ac:dyDescent="0.3">
      <c r="B201" t="s">
        <v>538</v>
      </c>
    </row>
    <row r="202" spans="2:2" x14ac:dyDescent="0.3">
      <c r="B202" t="s">
        <v>529</v>
      </c>
    </row>
    <row r="203" spans="2:2" x14ac:dyDescent="0.3">
      <c r="B203" t="s">
        <v>509</v>
      </c>
    </row>
    <row r="204" spans="2:2" x14ac:dyDescent="0.3">
      <c r="B204" t="s">
        <v>495</v>
      </c>
    </row>
    <row r="205" spans="2:2" x14ac:dyDescent="0.3">
      <c r="B205" t="s">
        <v>539</v>
      </c>
    </row>
    <row r="206" spans="2:2" x14ac:dyDescent="0.3">
      <c r="B206" t="s">
        <v>530</v>
      </c>
    </row>
    <row r="207" spans="2:2" x14ac:dyDescent="0.3">
      <c r="B207" t="s">
        <v>531</v>
      </c>
    </row>
    <row r="208" spans="2:2" x14ac:dyDescent="0.3">
      <c r="B208" t="s">
        <v>540</v>
      </c>
    </row>
    <row r="209" spans="2:2" x14ac:dyDescent="0.3">
      <c r="B209" t="s">
        <v>533</v>
      </c>
    </row>
    <row r="210" spans="2:2" x14ac:dyDescent="0.3">
      <c r="B210" t="s">
        <v>534</v>
      </c>
    </row>
    <row r="211" spans="2:2" x14ac:dyDescent="0.3">
      <c r="B211" t="s">
        <v>535</v>
      </c>
    </row>
    <row r="212" spans="2:2" x14ac:dyDescent="0.3">
      <c r="B212" t="s">
        <v>541</v>
      </c>
    </row>
    <row r="215" spans="2:2" x14ac:dyDescent="0.3">
      <c r="B215" t="s">
        <v>33</v>
      </c>
    </row>
    <row r="217" spans="2:2" x14ac:dyDescent="0.3">
      <c r="B217" t="s">
        <v>542</v>
      </c>
    </row>
    <row r="218" spans="2:2" x14ac:dyDescent="0.3">
      <c r="B218" t="s">
        <v>543</v>
      </c>
    </row>
    <row r="219" spans="2:2" x14ac:dyDescent="0.3">
      <c r="B219" t="s">
        <v>544</v>
      </c>
    </row>
    <row r="220" spans="2:2" x14ac:dyDescent="0.3">
      <c r="B220" t="s">
        <v>545</v>
      </c>
    </row>
    <row r="223" spans="2:2" x14ac:dyDescent="0.3">
      <c r="B223" t="s">
        <v>21</v>
      </c>
    </row>
    <row r="225" spans="2:2" x14ac:dyDescent="0.3">
      <c r="B225" t="s">
        <v>1253</v>
      </c>
    </row>
    <row r="226" spans="2:2" x14ac:dyDescent="0.3">
      <c r="B226" t="s">
        <v>1254</v>
      </c>
    </row>
    <row r="227" spans="2:2" x14ac:dyDescent="0.3">
      <c r="B227" t="s">
        <v>1255</v>
      </c>
    </row>
    <row r="228" spans="2:2" x14ac:dyDescent="0.3">
      <c r="B228" t="s">
        <v>1256</v>
      </c>
    </row>
    <row r="229" spans="2:2" x14ac:dyDescent="0.3">
      <c r="B229" t="s">
        <v>1257</v>
      </c>
    </row>
    <row r="230" spans="2:2" x14ac:dyDescent="0.3">
      <c r="B230" t="s">
        <v>1258</v>
      </c>
    </row>
    <row r="231" spans="2:2" x14ac:dyDescent="0.3">
      <c r="B231" t="s">
        <v>1259</v>
      </c>
    </row>
    <row r="232" spans="2:2" x14ac:dyDescent="0.3">
      <c r="B232" t="s">
        <v>1260</v>
      </c>
    </row>
    <row r="233" spans="2:2" x14ac:dyDescent="0.3">
      <c r="B233" t="s">
        <v>1261</v>
      </c>
    </row>
    <row r="234" spans="2:2" x14ac:dyDescent="0.3">
      <c r="B234" t="s">
        <v>1262</v>
      </c>
    </row>
    <row r="235" spans="2:2" x14ac:dyDescent="0.3">
      <c r="B235" t="s">
        <v>1263</v>
      </c>
    </row>
    <row r="236" spans="2:2" x14ac:dyDescent="0.3">
      <c r="B236" t="s">
        <v>1253</v>
      </c>
    </row>
    <row r="237" spans="2:2" x14ac:dyDescent="0.3">
      <c r="B237" t="s">
        <v>1264</v>
      </c>
    </row>
    <row r="238" spans="2:2" x14ac:dyDescent="0.3">
      <c r="B238" t="s">
        <v>1255</v>
      </c>
    </row>
    <row r="239" spans="2:2" x14ac:dyDescent="0.3">
      <c r="B239" t="s">
        <v>1265</v>
      </c>
    </row>
    <row r="240" spans="2:2" x14ac:dyDescent="0.3">
      <c r="B240" t="s">
        <v>1257</v>
      </c>
    </row>
    <row r="241" spans="2:2" x14ac:dyDescent="0.3">
      <c r="B241" t="s">
        <v>1258</v>
      </c>
    </row>
    <row r="242" spans="2:2" x14ac:dyDescent="0.3">
      <c r="B242" t="s">
        <v>1259</v>
      </c>
    </row>
    <row r="243" spans="2:2" x14ac:dyDescent="0.3">
      <c r="B243" t="s">
        <v>1260</v>
      </c>
    </row>
    <row r="244" spans="2:2" x14ac:dyDescent="0.3">
      <c r="B244" t="s">
        <v>1261</v>
      </c>
    </row>
    <row r="245" spans="2:2" x14ac:dyDescent="0.3">
      <c r="B245" t="s">
        <v>1262</v>
      </c>
    </row>
    <row r="246" spans="2:2" x14ac:dyDescent="0.3">
      <c r="B246" t="s">
        <v>1263</v>
      </c>
    </row>
    <row r="247" spans="2:2" x14ac:dyDescent="0.3">
      <c r="B247" t="s">
        <v>1253</v>
      </c>
    </row>
    <row r="248" spans="2:2" x14ac:dyDescent="0.3">
      <c r="B248" t="s">
        <v>1266</v>
      </c>
    </row>
    <row r="249" spans="2:2" x14ac:dyDescent="0.3">
      <c r="B249" t="s">
        <v>1255</v>
      </c>
    </row>
    <row r="250" spans="2:2" x14ac:dyDescent="0.3">
      <c r="B250" t="s">
        <v>1267</v>
      </c>
    </row>
    <row r="251" spans="2:2" x14ac:dyDescent="0.3">
      <c r="B251" t="s">
        <v>1268</v>
      </c>
    </row>
    <row r="252" spans="2:2" x14ac:dyDescent="0.3">
      <c r="B252" t="s">
        <v>1269</v>
      </c>
    </row>
    <row r="253" spans="2:2" x14ac:dyDescent="0.3">
      <c r="B253" t="s">
        <v>1270</v>
      </c>
    </row>
    <row r="254" spans="2:2" x14ac:dyDescent="0.3">
      <c r="B254" t="s">
        <v>1260</v>
      </c>
    </row>
    <row r="255" spans="2:2" x14ac:dyDescent="0.3">
      <c r="B255" t="s">
        <v>1261</v>
      </c>
    </row>
    <row r="256" spans="2:2" x14ac:dyDescent="0.3">
      <c r="B256" t="s">
        <v>1262</v>
      </c>
    </row>
    <row r="257" spans="2:2" x14ac:dyDescent="0.3">
      <c r="B257" t="s">
        <v>1263</v>
      </c>
    </row>
    <row r="258" spans="2:2" x14ac:dyDescent="0.3">
      <c r="B258" t="s">
        <v>1253</v>
      </c>
    </row>
    <row r="259" spans="2:2" x14ac:dyDescent="0.3">
      <c r="B259" t="s">
        <v>1271</v>
      </c>
    </row>
    <row r="260" spans="2:2" x14ac:dyDescent="0.3">
      <c r="B260" t="s">
        <v>1255</v>
      </c>
    </row>
    <row r="261" spans="2:2" x14ac:dyDescent="0.3">
      <c r="B261" t="s">
        <v>1272</v>
      </c>
    </row>
    <row r="262" spans="2:2" x14ac:dyDescent="0.3">
      <c r="B262" t="s">
        <v>1273</v>
      </c>
    </row>
    <row r="263" spans="2:2" x14ac:dyDescent="0.3">
      <c r="B263" t="s">
        <v>1274</v>
      </c>
    </row>
    <row r="264" spans="2:2" x14ac:dyDescent="0.3">
      <c r="B264" t="s">
        <v>1275</v>
      </c>
    </row>
    <row r="265" spans="2:2" x14ac:dyDescent="0.3">
      <c r="B265" t="s">
        <v>1260</v>
      </c>
    </row>
    <row r="266" spans="2:2" x14ac:dyDescent="0.3">
      <c r="B266" t="s">
        <v>1261</v>
      </c>
    </row>
    <row r="267" spans="2:2" x14ac:dyDescent="0.3">
      <c r="B267" t="s">
        <v>1262</v>
      </c>
    </row>
    <row r="268" spans="2:2" x14ac:dyDescent="0.3">
      <c r="B268" t="s">
        <v>1263</v>
      </c>
    </row>
    <row r="269" spans="2:2" x14ac:dyDescent="0.3">
      <c r="B269" t="s">
        <v>1253</v>
      </c>
    </row>
    <row r="270" spans="2:2" x14ac:dyDescent="0.3">
      <c r="B270" t="s">
        <v>1276</v>
      </c>
    </row>
    <row r="271" spans="2:2" x14ac:dyDescent="0.3">
      <c r="B271" t="s">
        <v>1255</v>
      </c>
    </row>
    <row r="272" spans="2:2" x14ac:dyDescent="0.3">
      <c r="B272" t="s">
        <v>1272</v>
      </c>
    </row>
    <row r="273" spans="2:2" x14ac:dyDescent="0.3">
      <c r="B273" t="s">
        <v>1273</v>
      </c>
    </row>
    <row r="274" spans="2:2" x14ac:dyDescent="0.3">
      <c r="B274" t="s">
        <v>1274</v>
      </c>
    </row>
    <row r="275" spans="2:2" x14ac:dyDescent="0.3">
      <c r="B275" t="s">
        <v>1275</v>
      </c>
    </row>
    <row r="276" spans="2:2" x14ac:dyDescent="0.3">
      <c r="B276" t="s">
        <v>1260</v>
      </c>
    </row>
    <row r="277" spans="2:2" x14ac:dyDescent="0.3">
      <c r="B277" t="s">
        <v>1261</v>
      </c>
    </row>
    <row r="278" spans="2:2" x14ac:dyDescent="0.3">
      <c r="B278" t="s">
        <v>1262</v>
      </c>
    </row>
    <row r="279" spans="2:2" x14ac:dyDescent="0.3">
      <c r="B279" t="s">
        <v>1263</v>
      </c>
    </row>
    <row r="280" spans="2:2" x14ac:dyDescent="0.3">
      <c r="B280" t="s">
        <v>1253</v>
      </c>
    </row>
    <row r="281" spans="2:2" x14ac:dyDescent="0.3">
      <c r="B281" t="s">
        <v>1277</v>
      </c>
    </row>
    <row r="282" spans="2:2" x14ac:dyDescent="0.3">
      <c r="B282" t="s">
        <v>1255</v>
      </c>
    </row>
    <row r="283" spans="2:2" x14ac:dyDescent="0.3">
      <c r="B283" t="s">
        <v>1267</v>
      </c>
    </row>
    <row r="284" spans="2:2" x14ac:dyDescent="0.3">
      <c r="B284" t="s">
        <v>1278</v>
      </c>
    </row>
    <row r="285" spans="2:2" x14ac:dyDescent="0.3">
      <c r="B285" t="s">
        <v>1279</v>
      </c>
    </row>
    <row r="286" spans="2:2" x14ac:dyDescent="0.3">
      <c r="B286" t="s">
        <v>1280</v>
      </c>
    </row>
    <row r="287" spans="2:2" x14ac:dyDescent="0.3">
      <c r="B287" t="s">
        <v>1260</v>
      </c>
    </row>
    <row r="288" spans="2:2" x14ac:dyDescent="0.3">
      <c r="B288" t="s">
        <v>1261</v>
      </c>
    </row>
    <row r="289" spans="2:2" x14ac:dyDescent="0.3">
      <c r="B289" t="s">
        <v>1262</v>
      </c>
    </row>
    <row r="290" spans="2:2" x14ac:dyDescent="0.3">
      <c r="B290" t="s">
        <v>1263</v>
      </c>
    </row>
    <row r="291" spans="2:2" x14ac:dyDescent="0.3">
      <c r="B291" t="s">
        <v>1253</v>
      </c>
    </row>
    <row r="292" spans="2:2" x14ac:dyDescent="0.3">
      <c r="B292" t="s">
        <v>1281</v>
      </c>
    </row>
    <row r="293" spans="2:2" x14ac:dyDescent="0.3">
      <c r="B293" t="s">
        <v>1255</v>
      </c>
    </row>
    <row r="294" spans="2:2" x14ac:dyDescent="0.3">
      <c r="B294" t="s">
        <v>1282</v>
      </c>
    </row>
    <row r="295" spans="2:2" x14ac:dyDescent="0.3">
      <c r="B295" t="s">
        <v>1257</v>
      </c>
    </row>
    <row r="296" spans="2:2" x14ac:dyDescent="0.3">
      <c r="B296" t="s">
        <v>1258</v>
      </c>
    </row>
    <row r="297" spans="2:2" x14ac:dyDescent="0.3">
      <c r="B297" t="s">
        <v>1259</v>
      </c>
    </row>
    <row r="298" spans="2:2" x14ac:dyDescent="0.3">
      <c r="B298" t="s">
        <v>1260</v>
      </c>
    </row>
    <row r="299" spans="2:2" x14ac:dyDescent="0.3">
      <c r="B299" t="s">
        <v>1261</v>
      </c>
    </row>
    <row r="300" spans="2:2" x14ac:dyDescent="0.3">
      <c r="B300" t="s">
        <v>1262</v>
      </c>
    </row>
    <row r="301" spans="2:2" x14ac:dyDescent="0.3">
      <c r="B301" t="s">
        <v>1263</v>
      </c>
    </row>
    <row r="302" spans="2:2" x14ac:dyDescent="0.3">
      <c r="B302" t="s">
        <v>1253</v>
      </c>
    </row>
    <row r="303" spans="2:2" x14ac:dyDescent="0.3">
      <c r="B303" t="s">
        <v>1283</v>
      </c>
    </row>
    <row r="304" spans="2:2" x14ac:dyDescent="0.3">
      <c r="B304" t="s">
        <v>1255</v>
      </c>
    </row>
    <row r="305" spans="2:2" x14ac:dyDescent="0.3">
      <c r="B305" t="s">
        <v>1282</v>
      </c>
    </row>
    <row r="306" spans="2:2" x14ac:dyDescent="0.3">
      <c r="B306" t="s">
        <v>1257</v>
      </c>
    </row>
    <row r="307" spans="2:2" x14ac:dyDescent="0.3">
      <c r="B307" t="s">
        <v>1258</v>
      </c>
    </row>
    <row r="308" spans="2:2" x14ac:dyDescent="0.3">
      <c r="B308" t="s">
        <v>1259</v>
      </c>
    </row>
    <row r="309" spans="2:2" x14ac:dyDescent="0.3">
      <c r="B309" t="s">
        <v>1260</v>
      </c>
    </row>
    <row r="310" spans="2:2" x14ac:dyDescent="0.3">
      <c r="B310" t="s">
        <v>1261</v>
      </c>
    </row>
    <row r="311" spans="2:2" x14ac:dyDescent="0.3">
      <c r="B311" t="s">
        <v>1262</v>
      </c>
    </row>
    <row r="312" spans="2:2" x14ac:dyDescent="0.3">
      <c r="B312" t="s">
        <v>1263</v>
      </c>
    </row>
    <row r="313" spans="2:2" x14ac:dyDescent="0.3">
      <c r="B313" t="s">
        <v>1253</v>
      </c>
    </row>
    <row r="314" spans="2:2" x14ac:dyDescent="0.3">
      <c r="B314" t="s">
        <v>1284</v>
      </c>
    </row>
    <row r="315" spans="2:2" x14ac:dyDescent="0.3">
      <c r="B315" t="s">
        <v>1255</v>
      </c>
    </row>
    <row r="316" spans="2:2" x14ac:dyDescent="0.3">
      <c r="B316" t="s">
        <v>1285</v>
      </c>
    </row>
    <row r="317" spans="2:2" x14ac:dyDescent="0.3">
      <c r="B317" t="s">
        <v>1257</v>
      </c>
    </row>
    <row r="318" spans="2:2" x14ac:dyDescent="0.3">
      <c r="B318" t="s">
        <v>1258</v>
      </c>
    </row>
    <row r="319" spans="2:2" x14ac:dyDescent="0.3">
      <c r="B319" t="s">
        <v>1259</v>
      </c>
    </row>
    <row r="320" spans="2:2" x14ac:dyDescent="0.3">
      <c r="B320" t="s">
        <v>1260</v>
      </c>
    </row>
    <row r="321" spans="2:2" x14ac:dyDescent="0.3">
      <c r="B321" t="s">
        <v>1261</v>
      </c>
    </row>
    <row r="322" spans="2:2" x14ac:dyDescent="0.3">
      <c r="B322" t="s">
        <v>1262</v>
      </c>
    </row>
    <row r="323" spans="2:2" x14ac:dyDescent="0.3">
      <c r="B323" t="s">
        <v>1263</v>
      </c>
    </row>
    <row r="324" spans="2:2" x14ac:dyDescent="0.3">
      <c r="B324" t="s">
        <v>1253</v>
      </c>
    </row>
    <row r="325" spans="2:2" x14ac:dyDescent="0.3">
      <c r="B325" t="s">
        <v>1286</v>
      </c>
    </row>
    <row r="326" spans="2:2" x14ac:dyDescent="0.3">
      <c r="B326" t="s">
        <v>1255</v>
      </c>
    </row>
    <row r="327" spans="2:2" x14ac:dyDescent="0.3">
      <c r="B327" t="s">
        <v>1287</v>
      </c>
    </row>
    <row r="328" spans="2:2" x14ac:dyDescent="0.3">
      <c r="B328" t="s">
        <v>1288</v>
      </c>
    </row>
    <row r="329" spans="2:2" x14ac:dyDescent="0.3">
      <c r="B329" t="s">
        <v>1289</v>
      </c>
    </row>
    <row r="330" spans="2:2" x14ac:dyDescent="0.3">
      <c r="B330" t="s">
        <v>1270</v>
      </c>
    </row>
    <row r="331" spans="2:2" x14ac:dyDescent="0.3">
      <c r="B331" t="s">
        <v>1260</v>
      </c>
    </row>
    <row r="332" spans="2:2" x14ac:dyDescent="0.3">
      <c r="B332" t="s">
        <v>1261</v>
      </c>
    </row>
    <row r="333" spans="2:2" x14ac:dyDescent="0.3">
      <c r="B333" t="s">
        <v>1262</v>
      </c>
    </row>
    <row r="334" spans="2:2" x14ac:dyDescent="0.3">
      <c r="B334" t="s">
        <v>1263</v>
      </c>
    </row>
    <row r="335" spans="2:2" x14ac:dyDescent="0.3">
      <c r="B335" t="s">
        <v>1253</v>
      </c>
    </row>
    <row r="336" spans="2:2" x14ac:dyDescent="0.3">
      <c r="B336" t="s">
        <v>1290</v>
      </c>
    </row>
    <row r="337" spans="2:2" x14ac:dyDescent="0.3">
      <c r="B337" t="s">
        <v>1255</v>
      </c>
    </row>
    <row r="338" spans="2:2" x14ac:dyDescent="0.3">
      <c r="B338" t="s">
        <v>1291</v>
      </c>
    </row>
    <row r="339" spans="2:2" x14ac:dyDescent="0.3">
      <c r="B339" t="s">
        <v>1288</v>
      </c>
    </row>
    <row r="340" spans="2:2" x14ac:dyDescent="0.3">
      <c r="B340" t="s">
        <v>1289</v>
      </c>
    </row>
    <row r="341" spans="2:2" x14ac:dyDescent="0.3">
      <c r="B341" t="s">
        <v>1270</v>
      </c>
    </row>
    <row r="342" spans="2:2" x14ac:dyDescent="0.3">
      <c r="B342" t="s">
        <v>1260</v>
      </c>
    </row>
    <row r="343" spans="2:2" x14ac:dyDescent="0.3">
      <c r="B343" t="s">
        <v>1261</v>
      </c>
    </row>
    <row r="344" spans="2:2" x14ac:dyDescent="0.3">
      <c r="B344" t="s">
        <v>1262</v>
      </c>
    </row>
    <row r="345" spans="2:2" x14ac:dyDescent="0.3">
      <c r="B345" t="s">
        <v>1263</v>
      </c>
    </row>
    <row r="346" spans="2:2" x14ac:dyDescent="0.3">
      <c r="B346" t="s">
        <v>1253</v>
      </c>
    </row>
    <row r="347" spans="2:2" x14ac:dyDescent="0.3">
      <c r="B347" t="s">
        <v>1292</v>
      </c>
    </row>
    <row r="348" spans="2:2" x14ac:dyDescent="0.3">
      <c r="B348" t="s">
        <v>1255</v>
      </c>
    </row>
    <row r="349" spans="2:2" x14ac:dyDescent="0.3">
      <c r="B349" t="s">
        <v>1293</v>
      </c>
    </row>
    <row r="350" spans="2:2" x14ac:dyDescent="0.3">
      <c r="B350" t="s">
        <v>1294</v>
      </c>
    </row>
    <row r="351" spans="2:2" x14ac:dyDescent="0.3">
      <c r="B351" t="s">
        <v>1269</v>
      </c>
    </row>
    <row r="352" spans="2:2" x14ac:dyDescent="0.3">
      <c r="B352" t="s">
        <v>1259</v>
      </c>
    </row>
    <row r="353" spans="2:2" x14ac:dyDescent="0.3">
      <c r="B353" t="s">
        <v>1260</v>
      </c>
    </row>
    <row r="354" spans="2:2" x14ac:dyDescent="0.3">
      <c r="B354" t="s">
        <v>1261</v>
      </c>
    </row>
    <row r="355" spans="2:2" x14ac:dyDescent="0.3">
      <c r="B355" t="s">
        <v>1262</v>
      </c>
    </row>
    <row r="356" spans="2:2" x14ac:dyDescent="0.3">
      <c r="B356" t="s">
        <v>1263</v>
      </c>
    </row>
    <row r="357" spans="2:2" x14ac:dyDescent="0.3">
      <c r="B357" t="s">
        <v>1253</v>
      </c>
    </row>
    <row r="358" spans="2:2" x14ac:dyDescent="0.3">
      <c r="B358" t="s">
        <v>1295</v>
      </c>
    </row>
    <row r="359" spans="2:2" x14ac:dyDescent="0.3">
      <c r="B359" t="s">
        <v>1255</v>
      </c>
    </row>
    <row r="360" spans="2:2" x14ac:dyDescent="0.3">
      <c r="B360" t="s">
        <v>1296</v>
      </c>
    </row>
    <row r="361" spans="2:2" x14ac:dyDescent="0.3">
      <c r="B361" t="s">
        <v>1297</v>
      </c>
    </row>
    <row r="362" spans="2:2" x14ac:dyDescent="0.3">
      <c r="B362" t="s">
        <v>1298</v>
      </c>
    </row>
    <row r="363" spans="2:2" x14ac:dyDescent="0.3">
      <c r="B363" t="s">
        <v>1270</v>
      </c>
    </row>
    <row r="364" spans="2:2" x14ac:dyDescent="0.3">
      <c r="B364" t="s">
        <v>1260</v>
      </c>
    </row>
    <row r="365" spans="2:2" x14ac:dyDescent="0.3">
      <c r="B365" t="s">
        <v>1261</v>
      </c>
    </row>
    <row r="366" spans="2:2" x14ac:dyDescent="0.3">
      <c r="B366" t="s">
        <v>1262</v>
      </c>
    </row>
    <row r="367" spans="2:2" x14ac:dyDescent="0.3">
      <c r="B367" t="s">
        <v>1263</v>
      </c>
    </row>
    <row r="368" spans="2:2" x14ac:dyDescent="0.3">
      <c r="B368" t="s">
        <v>1253</v>
      </c>
    </row>
    <row r="369" spans="2:2" x14ac:dyDescent="0.3">
      <c r="B369" t="s">
        <v>1299</v>
      </c>
    </row>
    <row r="370" spans="2:2" x14ac:dyDescent="0.3">
      <c r="B370" t="s">
        <v>1255</v>
      </c>
    </row>
    <row r="371" spans="2:2" x14ac:dyDescent="0.3">
      <c r="B371" t="s">
        <v>1300</v>
      </c>
    </row>
    <row r="372" spans="2:2" x14ac:dyDescent="0.3">
      <c r="B372" t="s">
        <v>1294</v>
      </c>
    </row>
    <row r="373" spans="2:2" x14ac:dyDescent="0.3">
      <c r="B373" t="s">
        <v>1269</v>
      </c>
    </row>
    <row r="374" spans="2:2" x14ac:dyDescent="0.3">
      <c r="B374" t="s">
        <v>1259</v>
      </c>
    </row>
    <row r="375" spans="2:2" x14ac:dyDescent="0.3">
      <c r="B375" t="s">
        <v>1260</v>
      </c>
    </row>
    <row r="376" spans="2:2" x14ac:dyDescent="0.3">
      <c r="B376" t="s">
        <v>1261</v>
      </c>
    </row>
    <row r="377" spans="2:2" x14ac:dyDescent="0.3">
      <c r="B377" t="s">
        <v>1262</v>
      </c>
    </row>
    <row r="378" spans="2:2" x14ac:dyDescent="0.3">
      <c r="B378" t="s">
        <v>1263</v>
      </c>
    </row>
    <row r="379" spans="2:2" x14ac:dyDescent="0.3">
      <c r="B379" t="s">
        <v>1253</v>
      </c>
    </row>
    <row r="380" spans="2:2" x14ac:dyDescent="0.3">
      <c r="B380" t="s">
        <v>1301</v>
      </c>
    </row>
    <row r="381" spans="2:2" x14ac:dyDescent="0.3">
      <c r="B381" t="s">
        <v>1255</v>
      </c>
    </row>
    <row r="382" spans="2:2" x14ac:dyDescent="0.3">
      <c r="B382" t="s">
        <v>1272</v>
      </c>
    </row>
    <row r="383" spans="2:2" x14ac:dyDescent="0.3">
      <c r="B383" t="s">
        <v>1268</v>
      </c>
    </row>
    <row r="384" spans="2:2" x14ac:dyDescent="0.3">
      <c r="B384" t="s">
        <v>1269</v>
      </c>
    </row>
    <row r="385" spans="2:2" x14ac:dyDescent="0.3">
      <c r="B385" t="s">
        <v>1270</v>
      </c>
    </row>
    <row r="386" spans="2:2" x14ac:dyDescent="0.3">
      <c r="B386" t="s">
        <v>1260</v>
      </c>
    </row>
    <row r="387" spans="2:2" x14ac:dyDescent="0.3">
      <c r="B387" t="s">
        <v>1261</v>
      </c>
    </row>
    <row r="388" spans="2:2" x14ac:dyDescent="0.3">
      <c r="B388" t="s">
        <v>1262</v>
      </c>
    </row>
    <row r="389" spans="2:2" x14ac:dyDescent="0.3">
      <c r="B389" t="s">
        <v>1263</v>
      </c>
    </row>
    <row r="390" spans="2:2" x14ac:dyDescent="0.3">
      <c r="B390" t="s">
        <v>1253</v>
      </c>
    </row>
    <row r="391" spans="2:2" x14ac:dyDescent="0.3">
      <c r="B391" t="s">
        <v>1302</v>
      </c>
    </row>
    <row r="392" spans="2:2" x14ac:dyDescent="0.3">
      <c r="B392" t="s">
        <v>1255</v>
      </c>
    </row>
    <row r="393" spans="2:2" x14ac:dyDescent="0.3">
      <c r="B393" t="s">
        <v>1303</v>
      </c>
    </row>
    <row r="394" spans="2:2" x14ac:dyDescent="0.3">
      <c r="B394" t="s">
        <v>1273</v>
      </c>
    </row>
    <row r="395" spans="2:2" x14ac:dyDescent="0.3">
      <c r="B395" t="s">
        <v>1274</v>
      </c>
    </row>
    <row r="396" spans="2:2" x14ac:dyDescent="0.3">
      <c r="B396" t="s">
        <v>1275</v>
      </c>
    </row>
    <row r="397" spans="2:2" x14ac:dyDescent="0.3">
      <c r="B397" t="s">
        <v>1260</v>
      </c>
    </row>
    <row r="398" spans="2:2" x14ac:dyDescent="0.3">
      <c r="B398" t="s">
        <v>1261</v>
      </c>
    </row>
    <row r="399" spans="2:2" x14ac:dyDescent="0.3">
      <c r="B399" t="s">
        <v>1262</v>
      </c>
    </row>
    <row r="400" spans="2:2" x14ac:dyDescent="0.3">
      <c r="B400" t="s">
        <v>1263</v>
      </c>
    </row>
    <row r="401" spans="2:2" x14ac:dyDescent="0.3">
      <c r="B401" t="s">
        <v>1253</v>
      </c>
    </row>
    <row r="402" spans="2:2" x14ac:dyDescent="0.3">
      <c r="B402" t="s">
        <v>1304</v>
      </c>
    </row>
    <row r="403" spans="2:2" x14ac:dyDescent="0.3">
      <c r="B403" t="s">
        <v>1255</v>
      </c>
    </row>
    <row r="404" spans="2:2" x14ac:dyDescent="0.3">
      <c r="B404" t="s">
        <v>1300</v>
      </c>
    </row>
    <row r="405" spans="2:2" x14ac:dyDescent="0.3">
      <c r="B405" t="s">
        <v>1288</v>
      </c>
    </row>
    <row r="406" spans="2:2" x14ac:dyDescent="0.3">
      <c r="B406" t="s">
        <v>1305</v>
      </c>
    </row>
    <row r="407" spans="2:2" x14ac:dyDescent="0.3">
      <c r="B407" t="s">
        <v>1270</v>
      </c>
    </row>
    <row r="408" spans="2:2" x14ac:dyDescent="0.3">
      <c r="B408" t="s">
        <v>1260</v>
      </c>
    </row>
    <row r="409" spans="2:2" x14ac:dyDescent="0.3">
      <c r="B409" t="s">
        <v>1261</v>
      </c>
    </row>
    <row r="410" spans="2:2" x14ac:dyDescent="0.3">
      <c r="B410" t="s">
        <v>1262</v>
      </c>
    </row>
    <row r="411" spans="2:2" x14ac:dyDescent="0.3">
      <c r="B411" t="s">
        <v>1263</v>
      </c>
    </row>
    <row r="412" spans="2:2" x14ac:dyDescent="0.3">
      <c r="B412" t="s">
        <v>1253</v>
      </c>
    </row>
    <row r="413" spans="2:2" x14ac:dyDescent="0.3">
      <c r="B413" t="s">
        <v>1306</v>
      </c>
    </row>
    <row r="414" spans="2:2" x14ac:dyDescent="0.3">
      <c r="B414" t="s">
        <v>1255</v>
      </c>
    </row>
    <row r="415" spans="2:2" x14ac:dyDescent="0.3">
      <c r="B415" t="s">
        <v>1303</v>
      </c>
    </row>
    <row r="416" spans="2:2" x14ac:dyDescent="0.3">
      <c r="B416" t="s">
        <v>1268</v>
      </c>
    </row>
    <row r="417" spans="2:2" x14ac:dyDescent="0.3">
      <c r="B417" t="s">
        <v>1269</v>
      </c>
    </row>
    <row r="418" spans="2:2" x14ac:dyDescent="0.3">
      <c r="B418" t="s">
        <v>1270</v>
      </c>
    </row>
    <row r="419" spans="2:2" x14ac:dyDescent="0.3">
      <c r="B419" t="s">
        <v>1260</v>
      </c>
    </row>
    <row r="420" spans="2:2" x14ac:dyDescent="0.3">
      <c r="B420" t="s">
        <v>1261</v>
      </c>
    </row>
    <row r="421" spans="2:2" x14ac:dyDescent="0.3">
      <c r="B421" t="s">
        <v>1262</v>
      </c>
    </row>
    <row r="422" spans="2:2" x14ac:dyDescent="0.3">
      <c r="B422" t="s">
        <v>1263</v>
      </c>
    </row>
    <row r="423" spans="2:2" x14ac:dyDescent="0.3">
      <c r="B423" t="s">
        <v>1253</v>
      </c>
    </row>
    <row r="424" spans="2:2" x14ac:dyDescent="0.3">
      <c r="B424" t="s">
        <v>1307</v>
      </c>
    </row>
    <row r="425" spans="2:2" x14ac:dyDescent="0.3">
      <c r="B425" t="s">
        <v>1255</v>
      </c>
    </row>
    <row r="426" spans="2:2" x14ac:dyDescent="0.3">
      <c r="B426" t="s">
        <v>1308</v>
      </c>
    </row>
    <row r="427" spans="2:2" x14ac:dyDescent="0.3">
      <c r="B427" t="s">
        <v>1309</v>
      </c>
    </row>
    <row r="428" spans="2:2" x14ac:dyDescent="0.3">
      <c r="B428" t="s">
        <v>1310</v>
      </c>
    </row>
    <row r="429" spans="2:2" x14ac:dyDescent="0.3">
      <c r="B429" t="s">
        <v>1270</v>
      </c>
    </row>
    <row r="430" spans="2:2" x14ac:dyDescent="0.3">
      <c r="B430" t="s">
        <v>1260</v>
      </c>
    </row>
    <row r="431" spans="2:2" x14ac:dyDescent="0.3">
      <c r="B431" t="s">
        <v>1261</v>
      </c>
    </row>
    <row r="432" spans="2:2" x14ac:dyDescent="0.3">
      <c r="B432" t="s">
        <v>1262</v>
      </c>
    </row>
    <row r="433" spans="2:2" x14ac:dyDescent="0.3">
      <c r="B433" t="s">
        <v>1263</v>
      </c>
    </row>
    <row r="434" spans="2:2" x14ac:dyDescent="0.3">
      <c r="B434" t="s">
        <v>1253</v>
      </c>
    </row>
    <row r="435" spans="2:2" x14ac:dyDescent="0.3">
      <c r="B435" t="s">
        <v>1311</v>
      </c>
    </row>
    <row r="436" spans="2:2" x14ac:dyDescent="0.3">
      <c r="B436" t="s">
        <v>1255</v>
      </c>
    </row>
    <row r="437" spans="2:2" x14ac:dyDescent="0.3">
      <c r="B437" t="s">
        <v>1312</v>
      </c>
    </row>
    <row r="438" spans="2:2" x14ac:dyDescent="0.3">
      <c r="B438" t="s">
        <v>1268</v>
      </c>
    </row>
    <row r="439" spans="2:2" x14ac:dyDescent="0.3">
      <c r="B439" t="s">
        <v>1305</v>
      </c>
    </row>
    <row r="440" spans="2:2" x14ac:dyDescent="0.3">
      <c r="B440" t="s">
        <v>1270</v>
      </c>
    </row>
    <row r="441" spans="2:2" x14ac:dyDescent="0.3">
      <c r="B441" t="s">
        <v>1260</v>
      </c>
    </row>
    <row r="442" spans="2:2" x14ac:dyDescent="0.3">
      <c r="B442" t="s">
        <v>1261</v>
      </c>
    </row>
    <row r="443" spans="2:2" x14ac:dyDescent="0.3">
      <c r="B443" t="s">
        <v>1262</v>
      </c>
    </row>
    <row r="444" spans="2:2" x14ac:dyDescent="0.3">
      <c r="B444" t="s">
        <v>1263</v>
      </c>
    </row>
    <row r="445" spans="2:2" x14ac:dyDescent="0.3">
      <c r="B445" t="s">
        <v>1253</v>
      </c>
    </row>
    <row r="446" spans="2:2" x14ac:dyDescent="0.3">
      <c r="B446" t="s">
        <v>1313</v>
      </c>
    </row>
    <row r="447" spans="2:2" x14ac:dyDescent="0.3">
      <c r="B447" t="s">
        <v>1255</v>
      </c>
    </row>
    <row r="448" spans="2:2" x14ac:dyDescent="0.3">
      <c r="B448" t="s">
        <v>1314</v>
      </c>
    </row>
    <row r="449" spans="2:2" x14ac:dyDescent="0.3">
      <c r="B449" t="s">
        <v>1268</v>
      </c>
    </row>
    <row r="450" spans="2:2" x14ac:dyDescent="0.3">
      <c r="B450" t="s">
        <v>1305</v>
      </c>
    </row>
    <row r="451" spans="2:2" x14ac:dyDescent="0.3">
      <c r="B451" t="s">
        <v>1270</v>
      </c>
    </row>
    <row r="452" spans="2:2" x14ac:dyDescent="0.3">
      <c r="B452" t="s">
        <v>1260</v>
      </c>
    </row>
    <row r="453" spans="2:2" x14ac:dyDescent="0.3">
      <c r="B453" t="s">
        <v>1261</v>
      </c>
    </row>
    <row r="454" spans="2:2" x14ac:dyDescent="0.3">
      <c r="B454" t="s">
        <v>1262</v>
      </c>
    </row>
    <row r="455" spans="2:2" x14ac:dyDescent="0.3">
      <c r="B455" t="s">
        <v>1263</v>
      </c>
    </row>
    <row r="456" spans="2:2" x14ac:dyDescent="0.3">
      <c r="B456" t="s">
        <v>1253</v>
      </c>
    </row>
    <row r="457" spans="2:2" x14ac:dyDescent="0.3">
      <c r="B457" t="s">
        <v>1315</v>
      </c>
    </row>
    <row r="458" spans="2:2" x14ac:dyDescent="0.3">
      <c r="B458" t="s">
        <v>1255</v>
      </c>
    </row>
    <row r="459" spans="2:2" x14ac:dyDescent="0.3">
      <c r="B459" t="s">
        <v>1303</v>
      </c>
    </row>
    <row r="460" spans="2:2" x14ac:dyDescent="0.3">
      <c r="B460" t="s">
        <v>1294</v>
      </c>
    </row>
    <row r="461" spans="2:2" x14ac:dyDescent="0.3">
      <c r="B461" t="s">
        <v>1269</v>
      </c>
    </row>
    <row r="462" spans="2:2" x14ac:dyDescent="0.3">
      <c r="B462" t="s">
        <v>1259</v>
      </c>
    </row>
    <row r="463" spans="2:2" x14ac:dyDescent="0.3">
      <c r="B463" t="s">
        <v>1316</v>
      </c>
    </row>
    <row r="464" spans="2:2" x14ac:dyDescent="0.3">
      <c r="B464" t="s">
        <v>1261</v>
      </c>
    </row>
    <row r="465" spans="2:2" x14ac:dyDescent="0.3">
      <c r="B465" t="s">
        <v>1262</v>
      </c>
    </row>
    <row r="466" spans="2:2" x14ac:dyDescent="0.3">
      <c r="B466" t="s">
        <v>1263</v>
      </c>
    </row>
    <row r="467" spans="2:2" x14ac:dyDescent="0.3">
      <c r="B467" t="s">
        <v>1253</v>
      </c>
    </row>
    <row r="468" spans="2:2" x14ac:dyDescent="0.3">
      <c r="B468" t="s">
        <v>1317</v>
      </c>
    </row>
    <row r="469" spans="2:2" x14ac:dyDescent="0.3">
      <c r="B469" t="s">
        <v>1255</v>
      </c>
    </row>
    <row r="470" spans="2:2" x14ac:dyDescent="0.3">
      <c r="B470" t="s">
        <v>1318</v>
      </c>
    </row>
    <row r="471" spans="2:2" x14ac:dyDescent="0.3">
      <c r="B471" t="s">
        <v>1319</v>
      </c>
    </row>
    <row r="472" spans="2:2" x14ac:dyDescent="0.3">
      <c r="B472" t="s">
        <v>1320</v>
      </c>
    </row>
    <row r="473" spans="2:2" x14ac:dyDescent="0.3">
      <c r="B473" t="s">
        <v>1321</v>
      </c>
    </row>
    <row r="474" spans="2:2" x14ac:dyDescent="0.3">
      <c r="B474" t="s">
        <v>1316</v>
      </c>
    </row>
    <row r="475" spans="2:2" x14ac:dyDescent="0.3">
      <c r="B475" t="s">
        <v>1261</v>
      </c>
    </row>
    <row r="476" spans="2:2" x14ac:dyDescent="0.3">
      <c r="B476" t="s">
        <v>1262</v>
      </c>
    </row>
    <row r="477" spans="2:2" x14ac:dyDescent="0.3">
      <c r="B477" t="s">
        <v>1263</v>
      </c>
    </row>
    <row r="478" spans="2:2" x14ac:dyDescent="0.3">
      <c r="B478" t="s">
        <v>1253</v>
      </c>
    </row>
    <row r="479" spans="2:2" x14ac:dyDescent="0.3">
      <c r="B479" t="s">
        <v>1322</v>
      </c>
    </row>
    <row r="480" spans="2:2" x14ac:dyDescent="0.3">
      <c r="B480" t="s">
        <v>1255</v>
      </c>
    </row>
    <row r="481" spans="2:2" x14ac:dyDescent="0.3">
      <c r="B481" t="s">
        <v>1303</v>
      </c>
    </row>
    <row r="482" spans="2:2" x14ac:dyDescent="0.3">
      <c r="B482" t="s">
        <v>1323</v>
      </c>
    </row>
    <row r="483" spans="2:2" x14ac:dyDescent="0.3">
      <c r="B483" t="s">
        <v>1324</v>
      </c>
    </row>
    <row r="484" spans="2:2" x14ac:dyDescent="0.3">
      <c r="B484" t="s">
        <v>1325</v>
      </c>
    </row>
    <row r="485" spans="2:2" x14ac:dyDescent="0.3">
      <c r="B485" t="s">
        <v>1260</v>
      </c>
    </row>
    <row r="486" spans="2:2" x14ac:dyDescent="0.3">
      <c r="B486" t="s">
        <v>1261</v>
      </c>
    </row>
    <row r="487" spans="2:2" x14ac:dyDescent="0.3">
      <c r="B487" t="s">
        <v>1262</v>
      </c>
    </row>
    <row r="488" spans="2:2" x14ac:dyDescent="0.3">
      <c r="B488" t="s">
        <v>1263</v>
      </c>
    </row>
    <row r="489" spans="2:2" x14ac:dyDescent="0.3">
      <c r="B489" t="s">
        <v>1253</v>
      </c>
    </row>
    <row r="490" spans="2:2" x14ac:dyDescent="0.3">
      <c r="B490" t="s">
        <v>1326</v>
      </c>
    </row>
    <row r="491" spans="2:2" x14ac:dyDescent="0.3">
      <c r="B491" t="s">
        <v>1255</v>
      </c>
    </row>
    <row r="492" spans="2:2" x14ac:dyDescent="0.3">
      <c r="B492" t="s">
        <v>1303</v>
      </c>
    </row>
    <row r="493" spans="2:2" x14ac:dyDescent="0.3">
      <c r="B493" t="s">
        <v>1327</v>
      </c>
    </row>
    <row r="494" spans="2:2" x14ac:dyDescent="0.3">
      <c r="B494" t="s">
        <v>1328</v>
      </c>
    </row>
    <row r="495" spans="2:2" x14ac:dyDescent="0.3">
      <c r="B495" t="s">
        <v>1329</v>
      </c>
    </row>
    <row r="496" spans="2:2" x14ac:dyDescent="0.3">
      <c r="B496" t="s">
        <v>1260</v>
      </c>
    </row>
    <row r="497" spans="2:2" x14ac:dyDescent="0.3">
      <c r="B497" t="s">
        <v>1261</v>
      </c>
    </row>
    <row r="498" spans="2:2" x14ac:dyDescent="0.3">
      <c r="B498" t="s">
        <v>1262</v>
      </c>
    </row>
    <row r="499" spans="2:2" x14ac:dyDescent="0.3">
      <c r="B499" t="s">
        <v>1263</v>
      </c>
    </row>
    <row r="500" spans="2:2" x14ac:dyDescent="0.3">
      <c r="B500" t="s">
        <v>1253</v>
      </c>
    </row>
    <row r="501" spans="2:2" x14ac:dyDescent="0.3">
      <c r="B501" t="s">
        <v>1330</v>
      </c>
    </row>
    <row r="502" spans="2:2" x14ac:dyDescent="0.3">
      <c r="B502" t="s">
        <v>1255</v>
      </c>
    </row>
    <row r="503" spans="2:2" x14ac:dyDescent="0.3">
      <c r="B503" t="s">
        <v>1303</v>
      </c>
    </row>
    <row r="504" spans="2:2" x14ac:dyDescent="0.3">
      <c r="B504" t="s">
        <v>1273</v>
      </c>
    </row>
    <row r="505" spans="2:2" x14ac:dyDescent="0.3">
      <c r="B505" t="s">
        <v>1274</v>
      </c>
    </row>
    <row r="506" spans="2:2" x14ac:dyDescent="0.3">
      <c r="B506" t="s">
        <v>1275</v>
      </c>
    </row>
    <row r="507" spans="2:2" x14ac:dyDescent="0.3">
      <c r="B507" t="s">
        <v>1260</v>
      </c>
    </row>
    <row r="508" spans="2:2" x14ac:dyDescent="0.3">
      <c r="B508" t="s">
        <v>1261</v>
      </c>
    </row>
    <row r="509" spans="2:2" x14ac:dyDescent="0.3">
      <c r="B509" t="s">
        <v>1262</v>
      </c>
    </row>
    <row r="510" spans="2:2" x14ac:dyDescent="0.3">
      <c r="B510" t="s">
        <v>1263</v>
      </c>
    </row>
    <row r="511" spans="2:2" x14ac:dyDescent="0.3">
      <c r="B511" t="s">
        <v>1253</v>
      </c>
    </row>
    <row r="512" spans="2:2" x14ac:dyDescent="0.3">
      <c r="B512" t="s">
        <v>1331</v>
      </c>
    </row>
    <row r="513" spans="2:2" x14ac:dyDescent="0.3">
      <c r="B513" t="s">
        <v>1255</v>
      </c>
    </row>
    <row r="514" spans="2:2" x14ac:dyDescent="0.3">
      <c r="B514" t="s">
        <v>1332</v>
      </c>
    </row>
    <row r="515" spans="2:2" x14ac:dyDescent="0.3">
      <c r="B515" t="s">
        <v>1288</v>
      </c>
    </row>
    <row r="516" spans="2:2" x14ac:dyDescent="0.3">
      <c r="B516" t="s">
        <v>1305</v>
      </c>
    </row>
    <row r="517" spans="2:2" x14ac:dyDescent="0.3">
      <c r="B517" t="s">
        <v>1270</v>
      </c>
    </row>
    <row r="518" spans="2:2" x14ac:dyDescent="0.3">
      <c r="B518" t="s">
        <v>1260</v>
      </c>
    </row>
    <row r="519" spans="2:2" x14ac:dyDescent="0.3">
      <c r="B519" t="s">
        <v>1261</v>
      </c>
    </row>
    <row r="520" spans="2:2" x14ac:dyDescent="0.3">
      <c r="B520" t="s">
        <v>1262</v>
      </c>
    </row>
    <row r="521" spans="2:2" x14ac:dyDescent="0.3">
      <c r="B521" t="s">
        <v>1263</v>
      </c>
    </row>
    <row r="522" spans="2:2" x14ac:dyDescent="0.3">
      <c r="B522" t="s">
        <v>1253</v>
      </c>
    </row>
    <row r="523" spans="2:2" x14ac:dyDescent="0.3">
      <c r="B523" t="s">
        <v>1333</v>
      </c>
    </row>
    <row r="524" spans="2:2" x14ac:dyDescent="0.3">
      <c r="B524" t="s">
        <v>1255</v>
      </c>
    </row>
    <row r="525" spans="2:2" x14ac:dyDescent="0.3">
      <c r="B525" t="s">
        <v>1334</v>
      </c>
    </row>
    <row r="526" spans="2:2" x14ac:dyDescent="0.3">
      <c r="B526" t="s">
        <v>1288</v>
      </c>
    </row>
    <row r="527" spans="2:2" x14ac:dyDescent="0.3">
      <c r="B527" t="s">
        <v>1305</v>
      </c>
    </row>
    <row r="528" spans="2:2" x14ac:dyDescent="0.3">
      <c r="B528" t="s">
        <v>1270</v>
      </c>
    </row>
    <row r="529" spans="2:2" x14ac:dyDescent="0.3">
      <c r="B529" t="s">
        <v>1260</v>
      </c>
    </row>
    <row r="530" spans="2:2" x14ac:dyDescent="0.3">
      <c r="B530" t="s">
        <v>1261</v>
      </c>
    </row>
    <row r="531" spans="2:2" x14ac:dyDescent="0.3">
      <c r="B531" t="s">
        <v>1262</v>
      </c>
    </row>
    <row r="532" spans="2:2" x14ac:dyDescent="0.3">
      <c r="B532" t="s">
        <v>1263</v>
      </c>
    </row>
    <row r="533" spans="2:2" x14ac:dyDescent="0.3">
      <c r="B533" t="s">
        <v>1253</v>
      </c>
    </row>
    <row r="534" spans="2:2" x14ac:dyDescent="0.3">
      <c r="B534" t="s">
        <v>1335</v>
      </c>
    </row>
    <row r="535" spans="2:2" x14ac:dyDescent="0.3">
      <c r="B535" t="s">
        <v>1255</v>
      </c>
    </row>
    <row r="536" spans="2:2" x14ac:dyDescent="0.3">
      <c r="B536" t="s">
        <v>1267</v>
      </c>
    </row>
    <row r="537" spans="2:2" x14ac:dyDescent="0.3">
      <c r="B537" t="s">
        <v>1268</v>
      </c>
    </row>
    <row r="538" spans="2:2" x14ac:dyDescent="0.3">
      <c r="B538" t="s">
        <v>1269</v>
      </c>
    </row>
    <row r="539" spans="2:2" x14ac:dyDescent="0.3">
      <c r="B539" t="s">
        <v>1270</v>
      </c>
    </row>
    <row r="540" spans="2:2" x14ac:dyDescent="0.3">
      <c r="B540" t="s">
        <v>1260</v>
      </c>
    </row>
    <row r="541" spans="2:2" x14ac:dyDescent="0.3">
      <c r="B541" t="s">
        <v>1261</v>
      </c>
    </row>
    <row r="542" spans="2:2" x14ac:dyDescent="0.3">
      <c r="B542" t="s">
        <v>1262</v>
      </c>
    </row>
    <row r="543" spans="2:2" x14ac:dyDescent="0.3">
      <c r="B543" t="s">
        <v>1263</v>
      </c>
    </row>
    <row r="544" spans="2:2" x14ac:dyDescent="0.3">
      <c r="B544" t="s">
        <v>1253</v>
      </c>
    </row>
    <row r="545" spans="2:2" x14ac:dyDescent="0.3">
      <c r="B545" t="s">
        <v>1336</v>
      </c>
    </row>
    <row r="546" spans="2:2" x14ac:dyDescent="0.3">
      <c r="B546" t="s">
        <v>1255</v>
      </c>
    </row>
    <row r="547" spans="2:2" x14ac:dyDescent="0.3">
      <c r="B547" t="s">
        <v>1337</v>
      </c>
    </row>
    <row r="548" spans="2:2" x14ac:dyDescent="0.3">
      <c r="B548" t="s">
        <v>1257</v>
      </c>
    </row>
    <row r="549" spans="2:2" x14ac:dyDescent="0.3">
      <c r="B549" t="s">
        <v>1258</v>
      </c>
    </row>
    <row r="550" spans="2:2" x14ac:dyDescent="0.3">
      <c r="B550" t="s">
        <v>1259</v>
      </c>
    </row>
    <row r="551" spans="2:2" x14ac:dyDescent="0.3">
      <c r="B551" t="s">
        <v>1260</v>
      </c>
    </row>
    <row r="552" spans="2:2" x14ac:dyDescent="0.3">
      <c r="B552" t="s">
        <v>1261</v>
      </c>
    </row>
    <row r="553" spans="2:2" x14ac:dyDescent="0.3">
      <c r="B553" t="s">
        <v>1262</v>
      </c>
    </row>
    <row r="554" spans="2:2" x14ac:dyDescent="0.3">
      <c r="B554" t="s">
        <v>1263</v>
      </c>
    </row>
    <row r="555" spans="2:2" x14ac:dyDescent="0.3">
      <c r="B555" t="s">
        <v>1253</v>
      </c>
    </row>
    <row r="556" spans="2:2" x14ac:dyDescent="0.3">
      <c r="B556" t="s">
        <v>1338</v>
      </c>
    </row>
    <row r="557" spans="2:2" x14ac:dyDescent="0.3">
      <c r="B557" t="s">
        <v>1255</v>
      </c>
    </row>
    <row r="558" spans="2:2" x14ac:dyDescent="0.3">
      <c r="B558" t="s">
        <v>1272</v>
      </c>
    </row>
    <row r="559" spans="2:2" x14ac:dyDescent="0.3">
      <c r="B559" t="s">
        <v>1268</v>
      </c>
    </row>
    <row r="560" spans="2:2" x14ac:dyDescent="0.3">
      <c r="B560" t="s">
        <v>1269</v>
      </c>
    </row>
    <row r="561" spans="2:2" x14ac:dyDescent="0.3">
      <c r="B561" t="s">
        <v>1270</v>
      </c>
    </row>
    <row r="562" spans="2:2" x14ac:dyDescent="0.3">
      <c r="B562" t="s">
        <v>1260</v>
      </c>
    </row>
    <row r="563" spans="2:2" x14ac:dyDescent="0.3">
      <c r="B563" t="s">
        <v>1261</v>
      </c>
    </row>
    <row r="564" spans="2:2" x14ac:dyDescent="0.3">
      <c r="B564" t="s">
        <v>1262</v>
      </c>
    </row>
    <row r="565" spans="2:2" x14ac:dyDescent="0.3">
      <c r="B565" t="s">
        <v>1263</v>
      </c>
    </row>
    <row r="566" spans="2:2" x14ac:dyDescent="0.3">
      <c r="B566" t="s">
        <v>1253</v>
      </c>
    </row>
    <row r="567" spans="2:2" x14ac:dyDescent="0.3">
      <c r="B567" t="s">
        <v>1339</v>
      </c>
    </row>
    <row r="568" spans="2:2" x14ac:dyDescent="0.3">
      <c r="B568" t="s">
        <v>1340</v>
      </c>
    </row>
    <row r="569" spans="2:2" x14ac:dyDescent="0.3">
      <c r="B569" t="s">
        <v>1341</v>
      </c>
    </row>
    <row r="570" spans="2:2" x14ac:dyDescent="0.3">
      <c r="B570" t="s">
        <v>1327</v>
      </c>
    </row>
    <row r="571" spans="2:2" x14ac:dyDescent="0.3">
      <c r="B571" t="s">
        <v>1328</v>
      </c>
    </row>
    <row r="572" spans="2:2" x14ac:dyDescent="0.3">
      <c r="B572" t="s">
        <v>1329</v>
      </c>
    </row>
    <row r="573" spans="2:2" x14ac:dyDescent="0.3">
      <c r="B573" t="s">
        <v>1342</v>
      </c>
    </row>
    <row r="574" spans="2:2" x14ac:dyDescent="0.3">
      <c r="B574" t="s">
        <v>1261</v>
      </c>
    </row>
    <row r="575" spans="2:2" x14ac:dyDescent="0.3">
      <c r="B575" t="s">
        <v>1262</v>
      </c>
    </row>
    <row r="576" spans="2:2" x14ac:dyDescent="0.3">
      <c r="B576" t="s">
        <v>1263</v>
      </c>
    </row>
    <row r="577" spans="2:2" x14ac:dyDescent="0.3">
      <c r="B577" t="s">
        <v>1253</v>
      </c>
    </row>
    <row r="578" spans="2:2" x14ac:dyDescent="0.3">
      <c r="B578" t="s">
        <v>1343</v>
      </c>
    </row>
    <row r="579" spans="2:2" x14ac:dyDescent="0.3">
      <c r="B579" t="s">
        <v>1344</v>
      </c>
    </row>
    <row r="580" spans="2:2" x14ac:dyDescent="0.3">
      <c r="B580" t="s">
        <v>1318</v>
      </c>
    </row>
    <row r="581" spans="2:2" x14ac:dyDescent="0.3">
      <c r="B581" t="s">
        <v>1345</v>
      </c>
    </row>
    <row r="582" spans="2:2" x14ac:dyDescent="0.3">
      <c r="B582" t="s">
        <v>1346</v>
      </c>
    </row>
    <row r="583" spans="2:2" x14ac:dyDescent="0.3">
      <c r="B583" t="s">
        <v>1347</v>
      </c>
    </row>
    <row r="584" spans="2:2" x14ac:dyDescent="0.3">
      <c r="B584" t="s">
        <v>1348</v>
      </c>
    </row>
    <row r="585" spans="2:2" x14ac:dyDescent="0.3">
      <c r="B585" t="s">
        <v>1349</v>
      </c>
    </row>
    <row r="586" spans="2:2" x14ac:dyDescent="0.3">
      <c r="B586" t="s">
        <v>1350</v>
      </c>
    </row>
    <row r="589" spans="2:2" x14ac:dyDescent="0.3">
      <c r="B589" t="s">
        <v>20</v>
      </c>
    </row>
    <row r="591" spans="2:2" x14ac:dyDescent="0.3">
      <c r="B591" t="s">
        <v>551</v>
      </c>
    </row>
    <row r="592" spans="2:2" x14ac:dyDescent="0.3">
      <c r="B592" t="s">
        <v>552</v>
      </c>
    </row>
    <row r="593" spans="2:2" x14ac:dyDescent="0.3">
      <c r="B593" t="s">
        <v>550</v>
      </c>
    </row>
    <row r="594" spans="2:2" x14ac:dyDescent="0.3">
      <c r="B594" t="s">
        <v>553</v>
      </c>
    </row>
    <row r="595" spans="2:2" x14ac:dyDescent="0.3">
      <c r="B595" t="s">
        <v>547</v>
      </c>
    </row>
    <row r="596" spans="2:2" x14ac:dyDescent="0.3">
      <c r="B596" t="s">
        <v>548</v>
      </c>
    </row>
    <row r="597" spans="2:2" x14ac:dyDescent="0.3">
      <c r="B597" t="s">
        <v>549</v>
      </c>
    </row>
    <row r="599" spans="2:2" x14ac:dyDescent="0.3">
      <c r="B599" t="s">
        <v>551</v>
      </c>
    </row>
    <row r="600" spans="2:2" x14ac:dyDescent="0.3">
      <c r="B600" t="s">
        <v>554</v>
      </c>
    </row>
    <row r="601" spans="2:2" x14ac:dyDescent="0.3">
      <c r="B601" t="s">
        <v>550</v>
      </c>
    </row>
    <row r="602" spans="2:2" x14ac:dyDescent="0.3">
      <c r="B602" t="s">
        <v>555</v>
      </c>
    </row>
    <row r="603" spans="2:2" x14ac:dyDescent="0.3">
      <c r="B603" t="s">
        <v>547</v>
      </c>
    </row>
    <row r="604" spans="2:2" x14ac:dyDescent="0.3">
      <c r="B604" t="s">
        <v>548</v>
      </c>
    </row>
    <row r="605" spans="2:2" x14ac:dyDescent="0.3">
      <c r="B605" t="s">
        <v>549</v>
      </c>
    </row>
    <row r="608" spans="2:2" x14ac:dyDescent="0.3">
      <c r="B608" t="s">
        <v>34</v>
      </c>
    </row>
    <row r="610" spans="2:2" x14ac:dyDescent="0.3">
      <c r="B610" t="s">
        <v>556</v>
      </c>
    </row>
    <row r="611" spans="2:2" x14ac:dyDescent="0.3">
      <c r="B611" t="s">
        <v>557</v>
      </c>
    </row>
    <row r="612" spans="2:2" x14ac:dyDescent="0.3">
      <c r="B612" t="s">
        <v>558</v>
      </c>
    </row>
    <row r="614" spans="2:2" x14ac:dyDescent="0.3">
      <c r="B614" t="s">
        <v>556</v>
      </c>
    </row>
    <row r="615" spans="2:2" x14ac:dyDescent="0.3">
      <c r="B615" t="s">
        <v>559</v>
      </c>
    </row>
    <row r="616" spans="2:2" x14ac:dyDescent="0.3">
      <c r="B616" t="s">
        <v>560</v>
      </c>
    </row>
    <row r="618" spans="2:2" x14ac:dyDescent="0.3">
      <c r="B618" t="s">
        <v>556</v>
      </c>
    </row>
    <row r="619" spans="2:2" x14ac:dyDescent="0.3">
      <c r="B619" t="s">
        <v>561</v>
      </c>
    </row>
    <row r="620" spans="2:2" x14ac:dyDescent="0.3">
      <c r="B620" t="s">
        <v>562</v>
      </c>
    </row>
    <row r="622" spans="2:2" x14ac:dyDescent="0.3">
      <c r="B622" t="s">
        <v>556</v>
      </c>
    </row>
    <row r="623" spans="2:2" x14ac:dyDescent="0.3">
      <c r="B623" t="s">
        <v>563</v>
      </c>
    </row>
    <row r="624" spans="2:2" x14ac:dyDescent="0.3">
      <c r="B624" t="s">
        <v>564</v>
      </c>
    </row>
    <row r="626" spans="2:2" x14ac:dyDescent="0.3">
      <c r="B626" t="s">
        <v>556</v>
      </c>
    </row>
    <row r="627" spans="2:2" x14ac:dyDescent="0.3">
      <c r="B627" t="s">
        <v>565</v>
      </c>
    </row>
    <row r="628" spans="2:2" x14ac:dyDescent="0.3">
      <c r="B628" t="s">
        <v>566</v>
      </c>
    </row>
    <row r="630" spans="2:2" x14ac:dyDescent="0.3">
      <c r="B630" t="s">
        <v>556</v>
      </c>
    </row>
    <row r="631" spans="2:2" x14ac:dyDescent="0.3">
      <c r="B631" t="s">
        <v>567</v>
      </c>
    </row>
    <row r="632" spans="2:2" x14ac:dyDescent="0.3">
      <c r="B632" t="s">
        <v>568</v>
      </c>
    </row>
    <row r="634" spans="2:2" x14ac:dyDescent="0.3">
      <c r="B634" t="s">
        <v>556</v>
      </c>
    </row>
    <row r="635" spans="2:2" x14ac:dyDescent="0.3">
      <c r="B635" t="s">
        <v>569</v>
      </c>
    </row>
    <row r="636" spans="2:2" x14ac:dyDescent="0.3">
      <c r="B636" t="s">
        <v>570</v>
      </c>
    </row>
    <row r="638" spans="2:2" x14ac:dyDescent="0.3">
      <c r="B638" t="s">
        <v>556</v>
      </c>
    </row>
    <row r="639" spans="2:2" x14ac:dyDescent="0.3">
      <c r="B639" t="s">
        <v>571</v>
      </c>
    </row>
    <row r="640" spans="2:2" x14ac:dyDescent="0.3">
      <c r="B640" t="s">
        <v>572</v>
      </c>
    </row>
    <row r="642" spans="2:2" x14ac:dyDescent="0.3">
      <c r="B642" t="s">
        <v>556</v>
      </c>
    </row>
    <row r="643" spans="2:2" x14ac:dyDescent="0.3">
      <c r="B643" t="s">
        <v>573</v>
      </c>
    </row>
    <row r="644" spans="2:2" x14ac:dyDescent="0.3">
      <c r="B644" t="s">
        <v>574</v>
      </c>
    </row>
    <row r="646" spans="2:2" x14ac:dyDescent="0.3">
      <c r="B646" t="s">
        <v>556</v>
      </c>
    </row>
    <row r="647" spans="2:2" x14ac:dyDescent="0.3">
      <c r="B647" t="s">
        <v>575</v>
      </c>
    </row>
    <row r="648" spans="2:2" x14ac:dyDescent="0.3">
      <c r="B648" t="s">
        <v>576</v>
      </c>
    </row>
    <row r="650" spans="2:2" x14ac:dyDescent="0.3">
      <c r="B650" t="s">
        <v>556</v>
      </c>
    </row>
    <row r="651" spans="2:2" x14ac:dyDescent="0.3">
      <c r="B651" t="s">
        <v>577</v>
      </c>
    </row>
    <row r="652" spans="2:2" x14ac:dyDescent="0.3">
      <c r="B652" t="s">
        <v>572</v>
      </c>
    </row>
    <row r="654" spans="2:2" x14ac:dyDescent="0.3">
      <c r="B654" t="s">
        <v>556</v>
      </c>
    </row>
    <row r="655" spans="2:2" x14ac:dyDescent="0.3">
      <c r="B655" t="s">
        <v>578</v>
      </c>
    </row>
    <row r="656" spans="2:2" x14ac:dyDescent="0.3">
      <c r="B656" t="s">
        <v>564</v>
      </c>
    </row>
    <row r="658" spans="2:2" x14ac:dyDescent="0.3">
      <c r="B658" t="s">
        <v>556</v>
      </c>
    </row>
    <row r="659" spans="2:2" x14ac:dyDescent="0.3">
      <c r="B659" t="s">
        <v>579</v>
      </c>
    </row>
    <row r="660" spans="2:2" x14ac:dyDescent="0.3">
      <c r="B660" t="s">
        <v>566</v>
      </c>
    </row>
    <row r="662" spans="2:2" x14ac:dyDescent="0.3">
      <c r="B662" t="s">
        <v>556</v>
      </c>
    </row>
    <row r="663" spans="2:2" x14ac:dyDescent="0.3">
      <c r="B663" t="s">
        <v>580</v>
      </c>
    </row>
    <row r="664" spans="2:2" x14ac:dyDescent="0.3">
      <c r="B664" t="s">
        <v>581</v>
      </c>
    </row>
    <row r="666" spans="2:2" x14ac:dyDescent="0.3">
      <c r="B666" t="s">
        <v>556</v>
      </c>
    </row>
    <row r="667" spans="2:2" x14ac:dyDescent="0.3">
      <c r="B667" t="s">
        <v>582</v>
      </c>
    </row>
    <row r="668" spans="2:2" x14ac:dyDescent="0.3">
      <c r="B668" t="s">
        <v>583</v>
      </c>
    </row>
    <row r="670" spans="2:2" x14ac:dyDescent="0.3">
      <c r="B670" t="s">
        <v>556</v>
      </c>
    </row>
    <row r="671" spans="2:2" x14ac:dyDescent="0.3">
      <c r="B671" t="s">
        <v>584</v>
      </c>
    </row>
    <row r="672" spans="2:2" x14ac:dyDescent="0.3">
      <c r="B672" t="s">
        <v>585</v>
      </c>
    </row>
    <row r="674" spans="2:2" x14ac:dyDescent="0.3">
      <c r="B674" t="s">
        <v>556</v>
      </c>
    </row>
    <row r="675" spans="2:2" x14ac:dyDescent="0.3">
      <c r="B675" t="s">
        <v>586</v>
      </c>
    </row>
    <row r="676" spans="2:2" x14ac:dyDescent="0.3">
      <c r="B676" t="s">
        <v>587</v>
      </c>
    </row>
    <row r="678" spans="2:2" x14ac:dyDescent="0.3">
      <c r="B678" t="s">
        <v>556</v>
      </c>
    </row>
    <row r="679" spans="2:2" x14ac:dyDescent="0.3">
      <c r="B679" t="s">
        <v>588</v>
      </c>
    </row>
    <row r="680" spans="2:2" x14ac:dyDescent="0.3">
      <c r="B680" t="s">
        <v>589</v>
      </c>
    </row>
    <row r="682" spans="2:2" x14ac:dyDescent="0.3">
      <c r="B682" t="s">
        <v>556</v>
      </c>
    </row>
    <row r="683" spans="2:2" x14ac:dyDescent="0.3">
      <c r="B683" t="s">
        <v>590</v>
      </c>
    </row>
    <row r="684" spans="2:2" x14ac:dyDescent="0.3">
      <c r="B684" t="s">
        <v>591</v>
      </c>
    </row>
    <row r="686" spans="2:2" x14ac:dyDescent="0.3">
      <c r="B686" t="s">
        <v>556</v>
      </c>
    </row>
    <row r="687" spans="2:2" x14ac:dyDescent="0.3">
      <c r="B687" t="s">
        <v>592</v>
      </c>
    </row>
    <row r="688" spans="2:2" x14ac:dyDescent="0.3">
      <c r="B688" t="s">
        <v>593</v>
      </c>
    </row>
    <row r="690" spans="2:2" x14ac:dyDescent="0.3">
      <c r="B690" t="s">
        <v>556</v>
      </c>
    </row>
    <row r="691" spans="2:2" x14ac:dyDescent="0.3">
      <c r="B691" t="s">
        <v>594</v>
      </c>
    </row>
    <row r="692" spans="2:2" x14ac:dyDescent="0.3">
      <c r="B692" t="s">
        <v>595</v>
      </c>
    </row>
    <row r="694" spans="2:2" x14ac:dyDescent="0.3">
      <c r="B694" t="s">
        <v>556</v>
      </c>
    </row>
    <row r="695" spans="2:2" x14ac:dyDescent="0.3">
      <c r="B695" t="s">
        <v>596</v>
      </c>
    </row>
    <row r="696" spans="2:2" x14ac:dyDescent="0.3">
      <c r="B696" t="s">
        <v>597</v>
      </c>
    </row>
    <row r="698" spans="2:2" x14ac:dyDescent="0.3">
      <c r="B698" t="s">
        <v>556</v>
      </c>
    </row>
    <row r="699" spans="2:2" x14ac:dyDescent="0.3">
      <c r="B699" t="s">
        <v>598</v>
      </c>
    </row>
    <row r="700" spans="2:2" x14ac:dyDescent="0.3">
      <c r="B700" t="s">
        <v>599</v>
      </c>
    </row>
    <row r="702" spans="2:2" x14ac:dyDescent="0.3">
      <c r="B702" t="s">
        <v>556</v>
      </c>
    </row>
    <row r="703" spans="2:2" x14ac:dyDescent="0.3">
      <c r="B703" t="s">
        <v>600</v>
      </c>
    </row>
    <row r="704" spans="2:2" x14ac:dyDescent="0.3">
      <c r="B704" t="s">
        <v>601</v>
      </c>
    </row>
    <row r="706" spans="2:2" x14ac:dyDescent="0.3">
      <c r="B706" t="s">
        <v>556</v>
      </c>
    </row>
    <row r="707" spans="2:2" x14ac:dyDescent="0.3">
      <c r="B707" t="s">
        <v>602</v>
      </c>
    </row>
    <row r="708" spans="2:2" x14ac:dyDescent="0.3">
      <c r="B708" t="s">
        <v>603</v>
      </c>
    </row>
    <row r="710" spans="2:2" x14ac:dyDescent="0.3">
      <c r="B710" t="s">
        <v>556</v>
      </c>
    </row>
    <row r="711" spans="2:2" x14ac:dyDescent="0.3">
      <c r="B711" t="s">
        <v>604</v>
      </c>
    </row>
    <row r="712" spans="2:2" x14ac:dyDescent="0.3">
      <c r="B712" t="s">
        <v>605</v>
      </c>
    </row>
    <row r="714" spans="2:2" x14ac:dyDescent="0.3">
      <c r="B714" t="s">
        <v>556</v>
      </c>
    </row>
    <row r="715" spans="2:2" x14ac:dyDescent="0.3">
      <c r="B715" t="s">
        <v>606</v>
      </c>
    </row>
    <row r="716" spans="2:2" x14ac:dyDescent="0.3">
      <c r="B716" t="s">
        <v>601</v>
      </c>
    </row>
    <row r="718" spans="2:2" x14ac:dyDescent="0.3">
      <c r="B718" t="s">
        <v>556</v>
      </c>
    </row>
    <row r="719" spans="2:2" x14ac:dyDescent="0.3">
      <c r="B719" t="s">
        <v>607</v>
      </c>
    </row>
    <row r="720" spans="2:2" x14ac:dyDescent="0.3">
      <c r="B720" t="s">
        <v>608</v>
      </c>
    </row>
    <row r="722" spans="2:2" x14ac:dyDescent="0.3">
      <c r="B722" t="s">
        <v>556</v>
      </c>
    </row>
    <row r="723" spans="2:2" x14ac:dyDescent="0.3">
      <c r="B723" t="s">
        <v>609</v>
      </c>
    </row>
    <row r="724" spans="2:2" x14ac:dyDescent="0.3">
      <c r="B724" t="s">
        <v>603</v>
      </c>
    </row>
    <row r="726" spans="2:2" x14ac:dyDescent="0.3">
      <c r="B726" t="s">
        <v>556</v>
      </c>
    </row>
    <row r="727" spans="2:2" x14ac:dyDescent="0.3">
      <c r="B727" t="s">
        <v>610</v>
      </c>
    </row>
    <row r="728" spans="2:2" x14ac:dyDescent="0.3">
      <c r="B728" t="s">
        <v>605</v>
      </c>
    </row>
    <row r="730" spans="2:2" x14ac:dyDescent="0.3">
      <c r="B730" t="s">
        <v>556</v>
      </c>
    </row>
    <row r="731" spans="2:2" x14ac:dyDescent="0.3">
      <c r="B731" t="s">
        <v>611</v>
      </c>
    </row>
    <row r="732" spans="2:2" x14ac:dyDescent="0.3">
      <c r="B732" t="s">
        <v>612</v>
      </c>
    </row>
    <row r="734" spans="2:2" x14ac:dyDescent="0.3">
      <c r="B734" t="s">
        <v>556</v>
      </c>
    </row>
    <row r="735" spans="2:2" x14ac:dyDescent="0.3">
      <c r="B735" t="s">
        <v>613</v>
      </c>
    </row>
    <row r="736" spans="2:2" x14ac:dyDescent="0.3">
      <c r="B736" t="s">
        <v>564</v>
      </c>
    </row>
    <row r="738" spans="2:2" x14ac:dyDescent="0.3">
      <c r="B738" t="s">
        <v>556</v>
      </c>
    </row>
    <row r="739" spans="2:2" x14ac:dyDescent="0.3">
      <c r="B739" t="s">
        <v>614</v>
      </c>
    </row>
    <row r="740" spans="2:2" x14ac:dyDescent="0.3">
      <c r="B740" t="s">
        <v>608</v>
      </c>
    </row>
    <row r="742" spans="2:2" x14ac:dyDescent="0.3">
      <c r="B742" t="s">
        <v>556</v>
      </c>
    </row>
    <row r="743" spans="2:2" x14ac:dyDescent="0.3">
      <c r="B743" t="s">
        <v>615</v>
      </c>
    </row>
    <row r="744" spans="2:2" x14ac:dyDescent="0.3">
      <c r="B744" t="s">
        <v>603</v>
      </c>
    </row>
    <row r="746" spans="2:2" x14ac:dyDescent="0.3">
      <c r="B746" t="s">
        <v>556</v>
      </c>
    </row>
    <row r="747" spans="2:2" x14ac:dyDescent="0.3">
      <c r="B747" t="s">
        <v>616</v>
      </c>
    </row>
    <row r="748" spans="2:2" x14ac:dyDescent="0.3">
      <c r="B748" t="s">
        <v>564</v>
      </c>
    </row>
    <row r="750" spans="2:2" x14ac:dyDescent="0.3">
      <c r="B750" t="s">
        <v>556</v>
      </c>
    </row>
    <row r="751" spans="2:2" x14ac:dyDescent="0.3">
      <c r="B751" t="s">
        <v>617</v>
      </c>
    </row>
    <row r="752" spans="2:2" x14ac:dyDescent="0.3">
      <c r="B752" t="s">
        <v>618</v>
      </c>
    </row>
    <row r="754" spans="2:2" x14ac:dyDescent="0.3">
      <c r="B754" t="s">
        <v>556</v>
      </c>
    </row>
    <row r="755" spans="2:2" x14ac:dyDescent="0.3">
      <c r="B755" t="s">
        <v>619</v>
      </c>
    </row>
    <row r="756" spans="2:2" x14ac:dyDescent="0.3">
      <c r="B756" t="s">
        <v>601</v>
      </c>
    </row>
    <row r="758" spans="2:2" x14ac:dyDescent="0.3">
      <c r="B758" t="s">
        <v>556</v>
      </c>
    </row>
    <row r="759" spans="2:2" x14ac:dyDescent="0.3">
      <c r="B759" t="s">
        <v>620</v>
      </c>
    </row>
    <row r="760" spans="2:2" x14ac:dyDescent="0.3">
      <c r="B760" t="s">
        <v>621</v>
      </c>
    </row>
    <row r="762" spans="2:2" x14ac:dyDescent="0.3">
      <c r="B762" t="s">
        <v>556</v>
      </c>
    </row>
    <row r="763" spans="2:2" x14ac:dyDescent="0.3">
      <c r="B763" t="s">
        <v>622</v>
      </c>
    </row>
    <row r="764" spans="2:2" x14ac:dyDescent="0.3">
      <c r="B764" t="s">
        <v>623</v>
      </c>
    </row>
    <row r="766" spans="2:2" x14ac:dyDescent="0.3">
      <c r="B766" t="s">
        <v>556</v>
      </c>
    </row>
    <row r="767" spans="2:2" x14ac:dyDescent="0.3">
      <c r="B767" t="s">
        <v>624</v>
      </c>
    </row>
    <row r="768" spans="2:2" x14ac:dyDescent="0.3">
      <c r="B768" t="s">
        <v>625</v>
      </c>
    </row>
    <row r="770" spans="2:2" x14ac:dyDescent="0.3">
      <c r="B770" t="s">
        <v>556</v>
      </c>
    </row>
    <row r="771" spans="2:2" x14ac:dyDescent="0.3">
      <c r="B771" t="s">
        <v>626</v>
      </c>
    </row>
    <row r="772" spans="2:2" x14ac:dyDescent="0.3">
      <c r="B772" t="s">
        <v>627</v>
      </c>
    </row>
    <row r="774" spans="2:2" x14ac:dyDescent="0.3">
      <c r="B774" t="s">
        <v>556</v>
      </c>
    </row>
    <row r="775" spans="2:2" x14ac:dyDescent="0.3">
      <c r="B775" t="s">
        <v>628</v>
      </c>
    </row>
    <row r="776" spans="2:2" x14ac:dyDescent="0.3">
      <c r="B776" t="s">
        <v>629</v>
      </c>
    </row>
    <row r="778" spans="2:2" x14ac:dyDescent="0.3">
      <c r="B778" t="s">
        <v>556</v>
      </c>
    </row>
    <row r="779" spans="2:2" x14ac:dyDescent="0.3">
      <c r="B779" t="s">
        <v>630</v>
      </c>
    </row>
    <row r="780" spans="2:2" x14ac:dyDescent="0.3">
      <c r="B780" t="s">
        <v>631</v>
      </c>
    </row>
    <row r="782" spans="2:2" x14ac:dyDescent="0.3">
      <c r="B782" t="s">
        <v>556</v>
      </c>
    </row>
    <row r="783" spans="2:2" x14ac:dyDescent="0.3">
      <c r="B783" t="s">
        <v>632</v>
      </c>
    </row>
    <row r="784" spans="2:2" x14ac:dyDescent="0.3">
      <c r="B784" t="s">
        <v>633</v>
      </c>
    </row>
    <row r="786" spans="2:2" x14ac:dyDescent="0.3">
      <c r="B786" t="s">
        <v>556</v>
      </c>
    </row>
    <row r="787" spans="2:2" x14ac:dyDescent="0.3">
      <c r="B787" t="s">
        <v>634</v>
      </c>
    </row>
    <row r="788" spans="2:2" x14ac:dyDescent="0.3">
      <c r="B788" t="s">
        <v>635</v>
      </c>
    </row>
    <row r="790" spans="2:2" x14ac:dyDescent="0.3">
      <c r="B790" t="s">
        <v>556</v>
      </c>
    </row>
    <row r="791" spans="2:2" x14ac:dyDescent="0.3">
      <c r="B791" t="s">
        <v>636</v>
      </c>
    </row>
    <row r="792" spans="2:2" x14ac:dyDescent="0.3">
      <c r="B792" t="s">
        <v>635</v>
      </c>
    </row>
    <row r="795" spans="2:2" x14ac:dyDescent="0.3">
      <c r="B795" t="s">
        <v>35</v>
      </c>
    </row>
    <row r="797" spans="2:2" x14ac:dyDescent="0.3">
      <c r="B797" t="s">
        <v>637</v>
      </c>
    </row>
    <row r="798" spans="2:2" x14ac:dyDescent="0.3">
      <c r="B798" t="s">
        <v>638</v>
      </c>
    </row>
    <row r="799" spans="2:2" x14ac:dyDescent="0.3">
      <c r="B799" t="s">
        <v>639</v>
      </c>
    </row>
    <row r="800" spans="2:2" x14ac:dyDescent="0.3">
      <c r="B800" t="s">
        <v>640</v>
      </c>
    </row>
    <row r="801" spans="2:2" x14ac:dyDescent="0.3">
      <c r="B801" t="s">
        <v>641</v>
      </c>
    </row>
    <row r="802" spans="2:2" x14ac:dyDescent="0.3">
      <c r="B802" t="s">
        <v>642</v>
      </c>
    </row>
    <row r="803" spans="2:2" x14ac:dyDescent="0.3">
      <c r="B803" t="s">
        <v>643</v>
      </c>
    </row>
    <row r="804" spans="2:2" x14ac:dyDescent="0.3">
      <c r="B804" t="s">
        <v>644</v>
      </c>
    </row>
    <row r="805" spans="2:2" x14ac:dyDescent="0.3">
      <c r="B805" t="s">
        <v>645</v>
      </c>
    </row>
    <row r="806" spans="2:2" x14ac:dyDescent="0.3">
      <c r="B806" t="s">
        <v>646</v>
      </c>
    </row>
    <row r="807" spans="2:2" x14ac:dyDescent="0.3">
      <c r="B807" t="s">
        <v>647</v>
      </c>
    </row>
    <row r="808" spans="2:2" x14ac:dyDescent="0.3">
      <c r="B808" t="s">
        <v>648</v>
      </c>
    </row>
    <row r="809" spans="2:2" x14ac:dyDescent="0.3">
      <c r="B809" t="s">
        <v>649</v>
      </c>
    </row>
    <row r="810" spans="2:2" x14ac:dyDescent="0.3">
      <c r="B810" t="s">
        <v>650</v>
      </c>
    </row>
    <row r="811" spans="2:2" x14ac:dyDescent="0.3">
      <c r="B811" t="s">
        <v>546</v>
      </c>
    </row>
    <row r="812" spans="2:2" x14ac:dyDescent="0.3">
      <c r="B812" t="s">
        <v>651</v>
      </c>
    </row>
    <row r="813" spans="2:2" x14ac:dyDescent="0.3">
      <c r="B813" t="s">
        <v>652</v>
      </c>
    </row>
    <row r="815" spans="2:2" x14ac:dyDescent="0.3">
      <c r="B815" t="s">
        <v>637</v>
      </c>
    </row>
    <row r="816" spans="2:2" x14ac:dyDescent="0.3">
      <c r="B816" t="s">
        <v>653</v>
      </c>
    </row>
    <row r="817" spans="2:2" x14ac:dyDescent="0.3">
      <c r="B817" t="s">
        <v>639</v>
      </c>
    </row>
    <row r="818" spans="2:2" x14ac:dyDescent="0.3">
      <c r="B818" t="s">
        <v>640</v>
      </c>
    </row>
    <row r="819" spans="2:2" x14ac:dyDescent="0.3">
      <c r="B819" t="s">
        <v>641</v>
      </c>
    </row>
    <row r="820" spans="2:2" x14ac:dyDescent="0.3">
      <c r="B820" t="s">
        <v>654</v>
      </c>
    </row>
    <row r="821" spans="2:2" x14ac:dyDescent="0.3">
      <c r="B821" t="s">
        <v>655</v>
      </c>
    </row>
    <row r="822" spans="2:2" x14ac:dyDescent="0.3">
      <c r="B822" t="s">
        <v>644</v>
      </c>
    </row>
    <row r="823" spans="2:2" x14ac:dyDescent="0.3">
      <c r="B823" t="s">
        <v>656</v>
      </c>
    </row>
    <row r="824" spans="2:2" x14ac:dyDescent="0.3">
      <c r="B824" t="s">
        <v>657</v>
      </c>
    </row>
    <row r="825" spans="2:2" x14ac:dyDescent="0.3">
      <c r="B825" t="s">
        <v>647</v>
      </c>
    </row>
    <row r="826" spans="2:2" x14ac:dyDescent="0.3">
      <c r="B826" t="s">
        <v>648</v>
      </c>
    </row>
    <row r="827" spans="2:2" x14ac:dyDescent="0.3">
      <c r="B827" t="s">
        <v>658</v>
      </c>
    </row>
    <row r="828" spans="2:2" x14ac:dyDescent="0.3">
      <c r="B828" t="s">
        <v>659</v>
      </c>
    </row>
    <row r="829" spans="2:2" x14ac:dyDescent="0.3">
      <c r="B829" t="s">
        <v>660</v>
      </c>
    </row>
    <row r="830" spans="2:2" x14ac:dyDescent="0.3">
      <c r="B830" t="s">
        <v>651</v>
      </c>
    </row>
    <row r="831" spans="2:2" x14ac:dyDescent="0.3">
      <c r="B831" t="s">
        <v>652</v>
      </c>
    </row>
    <row r="833" spans="2:2" x14ac:dyDescent="0.3">
      <c r="B833" t="s">
        <v>637</v>
      </c>
    </row>
    <row r="834" spans="2:2" x14ac:dyDescent="0.3">
      <c r="B834" t="s">
        <v>661</v>
      </c>
    </row>
    <row r="835" spans="2:2" x14ac:dyDescent="0.3">
      <c r="B835" t="s">
        <v>639</v>
      </c>
    </row>
    <row r="836" spans="2:2" x14ac:dyDescent="0.3">
      <c r="B836" t="s">
        <v>640</v>
      </c>
    </row>
    <row r="837" spans="2:2" x14ac:dyDescent="0.3">
      <c r="B837" t="s">
        <v>641</v>
      </c>
    </row>
    <row r="838" spans="2:2" x14ac:dyDescent="0.3">
      <c r="B838" t="s">
        <v>662</v>
      </c>
    </row>
    <row r="839" spans="2:2" x14ac:dyDescent="0.3">
      <c r="B839" t="s">
        <v>663</v>
      </c>
    </row>
    <row r="840" spans="2:2" x14ac:dyDescent="0.3">
      <c r="B840" t="s">
        <v>644</v>
      </c>
    </row>
    <row r="841" spans="2:2" x14ac:dyDescent="0.3">
      <c r="B841" t="s">
        <v>656</v>
      </c>
    </row>
    <row r="842" spans="2:2" x14ac:dyDescent="0.3">
      <c r="B842" t="s">
        <v>657</v>
      </c>
    </row>
    <row r="843" spans="2:2" x14ac:dyDescent="0.3">
      <c r="B843" t="s">
        <v>647</v>
      </c>
    </row>
    <row r="844" spans="2:2" x14ac:dyDescent="0.3">
      <c r="B844" t="s">
        <v>648</v>
      </c>
    </row>
    <row r="845" spans="2:2" x14ac:dyDescent="0.3">
      <c r="B845" t="s">
        <v>664</v>
      </c>
    </row>
    <row r="846" spans="2:2" x14ac:dyDescent="0.3">
      <c r="B846" t="s">
        <v>665</v>
      </c>
    </row>
    <row r="847" spans="2:2" x14ac:dyDescent="0.3">
      <c r="B847" t="s">
        <v>666</v>
      </c>
    </row>
    <row r="848" spans="2:2" x14ac:dyDescent="0.3">
      <c r="B848" t="s">
        <v>651</v>
      </c>
    </row>
    <row r="849" spans="2:2" x14ac:dyDescent="0.3">
      <c r="B849" t="s">
        <v>652</v>
      </c>
    </row>
    <row r="851" spans="2:2" x14ac:dyDescent="0.3">
      <c r="B851" t="s">
        <v>637</v>
      </c>
    </row>
    <row r="852" spans="2:2" x14ac:dyDescent="0.3">
      <c r="B852" t="s">
        <v>667</v>
      </c>
    </row>
    <row r="853" spans="2:2" x14ac:dyDescent="0.3">
      <c r="B853" t="s">
        <v>639</v>
      </c>
    </row>
    <row r="854" spans="2:2" x14ac:dyDescent="0.3">
      <c r="B854" t="s">
        <v>640</v>
      </c>
    </row>
    <row r="855" spans="2:2" x14ac:dyDescent="0.3">
      <c r="B855" t="s">
        <v>641</v>
      </c>
    </row>
    <row r="856" spans="2:2" x14ac:dyDescent="0.3">
      <c r="B856" t="s">
        <v>668</v>
      </c>
    </row>
    <row r="857" spans="2:2" x14ac:dyDescent="0.3">
      <c r="B857" t="s">
        <v>669</v>
      </c>
    </row>
    <row r="858" spans="2:2" x14ac:dyDescent="0.3">
      <c r="B858" t="s">
        <v>644</v>
      </c>
    </row>
    <row r="859" spans="2:2" x14ac:dyDescent="0.3">
      <c r="B859" t="s">
        <v>670</v>
      </c>
    </row>
    <row r="860" spans="2:2" x14ac:dyDescent="0.3">
      <c r="B860" t="s">
        <v>671</v>
      </c>
    </row>
    <row r="861" spans="2:2" x14ac:dyDescent="0.3">
      <c r="B861" t="s">
        <v>647</v>
      </c>
    </row>
    <row r="862" spans="2:2" x14ac:dyDescent="0.3">
      <c r="B862" t="s">
        <v>648</v>
      </c>
    </row>
    <row r="863" spans="2:2" x14ac:dyDescent="0.3">
      <c r="B863" t="s">
        <v>664</v>
      </c>
    </row>
    <row r="864" spans="2:2" x14ac:dyDescent="0.3">
      <c r="B864" t="s">
        <v>665</v>
      </c>
    </row>
    <row r="865" spans="2:2" x14ac:dyDescent="0.3">
      <c r="B865" t="s">
        <v>672</v>
      </c>
    </row>
    <row r="866" spans="2:2" x14ac:dyDescent="0.3">
      <c r="B866" t="s">
        <v>651</v>
      </c>
    </row>
    <row r="867" spans="2:2" x14ac:dyDescent="0.3">
      <c r="B867" t="s">
        <v>652</v>
      </c>
    </row>
    <row r="869" spans="2:2" x14ac:dyDescent="0.3">
      <c r="B869" t="s">
        <v>637</v>
      </c>
    </row>
    <row r="870" spans="2:2" x14ac:dyDescent="0.3">
      <c r="B870" t="s">
        <v>673</v>
      </c>
    </row>
    <row r="871" spans="2:2" x14ac:dyDescent="0.3">
      <c r="B871" t="s">
        <v>639</v>
      </c>
    </row>
    <row r="872" spans="2:2" x14ac:dyDescent="0.3">
      <c r="B872" t="s">
        <v>640</v>
      </c>
    </row>
    <row r="873" spans="2:2" x14ac:dyDescent="0.3">
      <c r="B873" t="s">
        <v>641</v>
      </c>
    </row>
    <row r="874" spans="2:2" x14ac:dyDescent="0.3">
      <c r="B874" t="s">
        <v>674</v>
      </c>
    </row>
    <row r="875" spans="2:2" x14ac:dyDescent="0.3">
      <c r="B875" t="s">
        <v>675</v>
      </c>
    </row>
    <row r="876" spans="2:2" x14ac:dyDescent="0.3">
      <c r="B876" t="s">
        <v>644</v>
      </c>
    </row>
    <row r="877" spans="2:2" x14ac:dyDescent="0.3">
      <c r="B877" t="s">
        <v>676</v>
      </c>
    </row>
    <row r="878" spans="2:2" x14ac:dyDescent="0.3">
      <c r="B878" t="s">
        <v>677</v>
      </c>
    </row>
    <row r="879" spans="2:2" x14ac:dyDescent="0.3">
      <c r="B879" t="s">
        <v>647</v>
      </c>
    </row>
    <row r="880" spans="2:2" x14ac:dyDescent="0.3">
      <c r="B880" t="s">
        <v>648</v>
      </c>
    </row>
    <row r="881" spans="2:2" x14ac:dyDescent="0.3">
      <c r="B881" t="s">
        <v>664</v>
      </c>
    </row>
    <row r="882" spans="2:2" x14ac:dyDescent="0.3">
      <c r="B882" t="s">
        <v>665</v>
      </c>
    </row>
    <row r="883" spans="2:2" x14ac:dyDescent="0.3">
      <c r="B883" t="s">
        <v>678</v>
      </c>
    </row>
    <row r="884" spans="2:2" x14ac:dyDescent="0.3">
      <c r="B884" t="s">
        <v>651</v>
      </c>
    </row>
    <row r="885" spans="2:2" x14ac:dyDescent="0.3">
      <c r="B885" t="s">
        <v>652</v>
      </c>
    </row>
    <row r="887" spans="2:2" x14ac:dyDescent="0.3">
      <c r="B887" t="s">
        <v>637</v>
      </c>
    </row>
    <row r="888" spans="2:2" x14ac:dyDescent="0.3">
      <c r="B888" t="s">
        <v>679</v>
      </c>
    </row>
    <row r="889" spans="2:2" x14ac:dyDescent="0.3">
      <c r="B889" t="s">
        <v>639</v>
      </c>
    </row>
    <row r="890" spans="2:2" x14ac:dyDescent="0.3">
      <c r="B890" t="s">
        <v>640</v>
      </c>
    </row>
    <row r="891" spans="2:2" x14ac:dyDescent="0.3">
      <c r="B891" t="s">
        <v>641</v>
      </c>
    </row>
    <row r="892" spans="2:2" x14ac:dyDescent="0.3">
      <c r="B892" t="s">
        <v>680</v>
      </c>
    </row>
    <row r="893" spans="2:2" x14ac:dyDescent="0.3">
      <c r="B893" t="s">
        <v>681</v>
      </c>
    </row>
    <row r="894" spans="2:2" x14ac:dyDescent="0.3">
      <c r="B894" t="s">
        <v>644</v>
      </c>
    </row>
    <row r="895" spans="2:2" x14ac:dyDescent="0.3">
      <c r="B895" t="s">
        <v>682</v>
      </c>
    </row>
    <row r="896" spans="2:2" x14ac:dyDescent="0.3">
      <c r="B896" t="s">
        <v>683</v>
      </c>
    </row>
    <row r="897" spans="2:2" x14ac:dyDescent="0.3">
      <c r="B897" t="s">
        <v>647</v>
      </c>
    </row>
    <row r="898" spans="2:2" x14ac:dyDescent="0.3">
      <c r="B898" t="s">
        <v>648</v>
      </c>
    </row>
    <row r="899" spans="2:2" x14ac:dyDescent="0.3">
      <c r="B899" t="s">
        <v>664</v>
      </c>
    </row>
    <row r="900" spans="2:2" x14ac:dyDescent="0.3">
      <c r="B900" t="s">
        <v>665</v>
      </c>
    </row>
    <row r="901" spans="2:2" x14ac:dyDescent="0.3">
      <c r="B901" t="s">
        <v>678</v>
      </c>
    </row>
    <row r="902" spans="2:2" x14ac:dyDescent="0.3">
      <c r="B902" t="s">
        <v>651</v>
      </c>
    </row>
    <row r="903" spans="2:2" x14ac:dyDescent="0.3">
      <c r="B903" t="s">
        <v>652</v>
      </c>
    </row>
    <row r="905" spans="2:2" x14ac:dyDescent="0.3">
      <c r="B905" t="s">
        <v>637</v>
      </c>
    </row>
    <row r="906" spans="2:2" x14ac:dyDescent="0.3">
      <c r="B906" t="s">
        <v>684</v>
      </c>
    </row>
    <row r="907" spans="2:2" x14ac:dyDescent="0.3">
      <c r="B907" t="s">
        <v>639</v>
      </c>
    </row>
    <row r="908" spans="2:2" x14ac:dyDescent="0.3">
      <c r="B908" t="s">
        <v>640</v>
      </c>
    </row>
    <row r="909" spans="2:2" x14ac:dyDescent="0.3">
      <c r="B909" t="s">
        <v>641</v>
      </c>
    </row>
    <row r="910" spans="2:2" x14ac:dyDescent="0.3">
      <c r="B910" t="s">
        <v>685</v>
      </c>
    </row>
    <row r="911" spans="2:2" x14ac:dyDescent="0.3">
      <c r="B911" t="s">
        <v>686</v>
      </c>
    </row>
    <row r="912" spans="2:2" x14ac:dyDescent="0.3">
      <c r="B912" t="s">
        <v>644</v>
      </c>
    </row>
    <row r="913" spans="2:2" x14ac:dyDescent="0.3">
      <c r="B913" t="s">
        <v>687</v>
      </c>
    </row>
    <row r="914" spans="2:2" x14ac:dyDescent="0.3">
      <c r="B914" t="s">
        <v>688</v>
      </c>
    </row>
    <row r="915" spans="2:2" x14ac:dyDescent="0.3">
      <c r="B915" t="s">
        <v>647</v>
      </c>
    </row>
    <row r="916" spans="2:2" x14ac:dyDescent="0.3">
      <c r="B916" t="s">
        <v>648</v>
      </c>
    </row>
    <row r="917" spans="2:2" x14ac:dyDescent="0.3">
      <c r="B917" t="s">
        <v>664</v>
      </c>
    </row>
    <row r="918" spans="2:2" x14ac:dyDescent="0.3">
      <c r="B918" t="s">
        <v>665</v>
      </c>
    </row>
    <row r="919" spans="2:2" x14ac:dyDescent="0.3">
      <c r="B919" t="s">
        <v>689</v>
      </c>
    </row>
    <row r="920" spans="2:2" x14ac:dyDescent="0.3">
      <c r="B920" t="s">
        <v>651</v>
      </c>
    </row>
    <row r="921" spans="2:2" x14ac:dyDescent="0.3">
      <c r="B921" t="s">
        <v>652</v>
      </c>
    </row>
    <row r="924" spans="2:2" x14ac:dyDescent="0.3">
      <c r="B924" t="s">
        <v>36</v>
      </c>
    </row>
    <row r="926" spans="2:2" x14ac:dyDescent="0.3">
      <c r="B926" t="s">
        <v>690</v>
      </c>
    </row>
    <row r="927" spans="2:2" x14ac:dyDescent="0.3">
      <c r="B927" t="s">
        <v>691</v>
      </c>
    </row>
    <row r="928" spans="2:2" x14ac:dyDescent="0.3">
      <c r="B928" t="s">
        <v>692</v>
      </c>
    </row>
    <row r="929" spans="2:2" x14ac:dyDescent="0.3">
      <c r="B929" t="s">
        <v>693</v>
      </c>
    </row>
    <row r="930" spans="2:2" x14ac:dyDescent="0.3">
      <c r="B930" t="s">
        <v>694</v>
      </c>
    </row>
    <row r="931" spans="2:2" x14ac:dyDescent="0.3">
      <c r="B931" t="s">
        <v>695</v>
      </c>
    </row>
    <row r="932" spans="2:2" x14ac:dyDescent="0.3">
      <c r="B932" t="s">
        <v>696</v>
      </c>
    </row>
    <row r="933" spans="2:2" x14ac:dyDescent="0.3">
      <c r="B933" t="s">
        <v>697</v>
      </c>
    </row>
    <row r="934" spans="2:2" x14ac:dyDescent="0.3">
      <c r="B934" t="s">
        <v>698</v>
      </c>
    </row>
    <row r="935" spans="2:2" x14ac:dyDescent="0.3">
      <c r="B935" t="s">
        <v>699</v>
      </c>
    </row>
    <row r="936" spans="2:2" x14ac:dyDescent="0.3">
      <c r="B936" t="s">
        <v>700</v>
      </c>
    </row>
    <row r="937" spans="2:2" x14ac:dyDescent="0.3">
      <c r="B937" t="s">
        <v>701</v>
      </c>
    </row>
    <row r="938" spans="2:2" x14ac:dyDescent="0.3">
      <c r="B938" t="s">
        <v>702</v>
      </c>
    </row>
    <row r="939" spans="2:2" x14ac:dyDescent="0.3">
      <c r="B939" t="s">
        <v>703</v>
      </c>
    </row>
    <row r="940" spans="2:2" x14ac:dyDescent="0.3">
      <c r="B940" t="s">
        <v>704</v>
      </c>
    </row>
    <row r="941" spans="2:2" x14ac:dyDescent="0.3">
      <c r="B941" t="s">
        <v>705</v>
      </c>
    </row>
    <row r="942" spans="2:2" x14ac:dyDescent="0.3">
      <c r="B942" t="s">
        <v>706</v>
      </c>
    </row>
    <row r="943" spans="2:2" x14ac:dyDescent="0.3">
      <c r="B943" t="s">
        <v>707</v>
      </c>
    </row>
    <row r="944" spans="2:2" x14ac:dyDescent="0.3">
      <c r="B944" t="s">
        <v>708</v>
      </c>
    </row>
    <row r="945" spans="2:2" x14ac:dyDescent="0.3">
      <c r="B945" t="s">
        <v>709</v>
      </c>
    </row>
    <row r="946" spans="2:2" x14ac:dyDescent="0.3">
      <c r="B946" t="s">
        <v>710</v>
      </c>
    </row>
    <row r="947" spans="2:2" x14ac:dyDescent="0.3">
      <c r="B947" t="s">
        <v>711</v>
      </c>
    </row>
    <row r="948" spans="2:2" x14ac:dyDescent="0.3">
      <c r="B948" t="s">
        <v>712</v>
      </c>
    </row>
    <row r="949" spans="2:2" x14ac:dyDescent="0.3">
      <c r="B949" t="s">
        <v>713</v>
      </c>
    </row>
    <row r="950" spans="2:2" x14ac:dyDescent="0.3">
      <c r="B950" t="s">
        <v>714</v>
      </c>
    </row>
    <row r="951" spans="2:2" x14ac:dyDescent="0.3">
      <c r="B951" t="s">
        <v>715</v>
      </c>
    </row>
    <row r="952" spans="2:2" x14ac:dyDescent="0.3">
      <c r="B952" t="s">
        <v>716</v>
      </c>
    </row>
    <row r="953" spans="2:2" x14ac:dyDescent="0.3">
      <c r="B953" t="s">
        <v>717</v>
      </c>
    </row>
    <row r="954" spans="2:2" x14ac:dyDescent="0.3">
      <c r="B954" t="s">
        <v>718</v>
      </c>
    </row>
    <row r="955" spans="2:2" x14ac:dyDescent="0.3">
      <c r="B955" t="s">
        <v>719</v>
      </c>
    </row>
    <row r="958" spans="2:2" x14ac:dyDescent="0.3">
      <c r="B958" t="s">
        <v>37</v>
      </c>
    </row>
    <row r="960" spans="2:2" x14ac:dyDescent="0.3">
      <c r="B960" t="s">
        <v>720</v>
      </c>
    </row>
    <row r="961" spans="2:2" x14ac:dyDescent="0.3">
      <c r="B961" t="s">
        <v>721</v>
      </c>
    </row>
    <row r="962" spans="2:2" x14ac:dyDescent="0.3">
      <c r="B962" t="s">
        <v>722</v>
      </c>
    </row>
    <row r="963" spans="2:2" x14ac:dyDescent="0.3">
      <c r="B963" t="s">
        <v>723</v>
      </c>
    </row>
    <row r="964" spans="2:2" x14ac:dyDescent="0.3">
      <c r="B964" t="s">
        <v>724</v>
      </c>
    </row>
    <row r="965" spans="2:2" x14ac:dyDescent="0.3">
      <c r="B965" t="s">
        <v>725</v>
      </c>
    </row>
    <row r="966" spans="2:2" x14ac:dyDescent="0.3">
      <c r="B966" t="s">
        <v>726</v>
      </c>
    </row>
    <row r="968" spans="2:2" x14ac:dyDescent="0.3">
      <c r="B968" t="s">
        <v>720</v>
      </c>
    </row>
    <row r="969" spans="2:2" x14ac:dyDescent="0.3">
      <c r="B969" t="s">
        <v>727</v>
      </c>
    </row>
    <row r="970" spans="2:2" x14ac:dyDescent="0.3">
      <c r="B970" t="s">
        <v>722</v>
      </c>
    </row>
    <row r="971" spans="2:2" x14ac:dyDescent="0.3">
      <c r="B971" t="s">
        <v>728</v>
      </c>
    </row>
    <row r="972" spans="2:2" x14ac:dyDescent="0.3">
      <c r="B972" t="s">
        <v>729</v>
      </c>
    </row>
    <row r="973" spans="2:2" x14ac:dyDescent="0.3">
      <c r="B973" t="s">
        <v>730</v>
      </c>
    </row>
    <row r="974" spans="2:2" x14ac:dyDescent="0.3">
      <c r="B974" t="s">
        <v>726</v>
      </c>
    </row>
    <row r="976" spans="2:2" x14ac:dyDescent="0.3">
      <c r="B976" t="s">
        <v>720</v>
      </c>
    </row>
    <row r="977" spans="2:2" x14ac:dyDescent="0.3">
      <c r="B977" t="s">
        <v>731</v>
      </c>
    </row>
    <row r="978" spans="2:2" x14ac:dyDescent="0.3">
      <c r="B978" t="s">
        <v>732</v>
      </c>
    </row>
    <row r="979" spans="2:2" x14ac:dyDescent="0.3">
      <c r="B979" t="s">
        <v>733</v>
      </c>
    </row>
    <row r="980" spans="2:2" x14ac:dyDescent="0.3">
      <c r="B980" t="s">
        <v>734</v>
      </c>
    </row>
    <row r="981" spans="2:2" x14ac:dyDescent="0.3">
      <c r="B981" t="s">
        <v>735</v>
      </c>
    </row>
    <row r="982" spans="2:2" x14ac:dyDescent="0.3">
      <c r="B982" t="s">
        <v>736</v>
      </c>
    </row>
    <row r="984" spans="2:2" x14ac:dyDescent="0.3">
      <c r="B984" t="s">
        <v>720</v>
      </c>
    </row>
    <row r="985" spans="2:2" x14ac:dyDescent="0.3">
      <c r="B985" t="s">
        <v>737</v>
      </c>
    </row>
    <row r="986" spans="2:2" x14ac:dyDescent="0.3">
      <c r="B986" t="s">
        <v>738</v>
      </c>
    </row>
    <row r="987" spans="2:2" x14ac:dyDescent="0.3">
      <c r="B987" t="s">
        <v>739</v>
      </c>
    </row>
    <row r="988" spans="2:2" x14ac:dyDescent="0.3">
      <c r="B988" t="s">
        <v>740</v>
      </c>
    </row>
    <row r="990" spans="2:2" x14ac:dyDescent="0.3">
      <c r="B990" t="s">
        <v>720</v>
      </c>
    </row>
    <row r="991" spans="2:2" x14ac:dyDescent="0.3">
      <c r="B991" t="s">
        <v>741</v>
      </c>
    </row>
    <row r="992" spans="2:2" x14ac:dyDescent="0.3">
      <c r="B992" t="s">
        <v>742</v>
      </c>
    </row>
    <row r="994" spans="2:2" x14ac:dyDescent="0.3">
      <c r="B994" t="s">
        <v>720</v>
      </c>
    </row>
    <row r="995" spans="2:2" x14ac:dyDescent="0.3">
      <c r="B995" t="s">
        <v>743</v>
      </c>
    </row>
    <row r="996" spans="2:2" x14ac:dyDescent="0.3">
      <c r="B996" t="s">
        <v>744</v>
      </c>
    </row>
    <row r="998" spans="2:2" x14ac:dyDescent="0.3">
      <c r="B998" t="s">
        <v>720</v>
      </c>
    </row>
    <row r="999" spans="2:2" x14ac:dyDescent="0.3">
      <c r="B999" t="s">
        <v>745</v>
      </c>
    </row>
    <row r="1000" spans="2:2" x14ac:dyDescent="0.3">
      <c r="B1000" t="s">
        <v>746</v>
      </c>
    </row>
    <row r="1002" spans="2:2" x14ac:dyDescent="0.3">
      <c r="B1002" t="s">
        <v>720</v>
      </c>
    </row>
    <row r="1003" spans="2:2" x14ac:dyDescent="0.3">
      <c r="B1003" t="s">
        <v>747</v>
      </c>
    </row>
    <row r="1004" spans="2:2" x14ac:dyDescent="0.3">
      <c r="B1004" t="s">
        <v>748</v>
      </c>
    </row>
    <row r="1006" spans="2:2" x14ac:dyDescent="0.3">
      <c r="B1006" t="s">
        <v>720</v>
      </c>
    </row>
    <row r="1007" spans="2:2" x14ac:dyDescent="0.3">
      <c r="B1007" t="s">
        <v>749</v>
      </c>
    </row>
    <row r="1008" spans="2:2" x14ac:dyDescent="0.3">
      <c r="B1008" t="s">
        <v>722</v>
      </c>
    </row>
    <row r="1009" spans="2:2" x14ac:dyDescent="0.3">
      <c r="B1009" t="s">
        <v>750</v>
      </c>
    </row>
    <row r="1010" spans="2:2" x14ac:dyDescent="0.3">
      <c r="B1010" t="s">
        <v>724</v>
      </c>
    </row>
    <row r="1011" spans="2:2" x14ac:dyDescent="0.3">
      <c r="B1011" t="s">
        <v>751</v>
      </c>
    </row>
    <row r="1012" spans="2:2" x14ac:dyDescent="0.3">
      <c r="B1012" t="s">
        <v>752</v>
      </c>
    </row>
    <row r="1013" spans="2:2" x14ac:dyDescent="0.3">
      <c r="B1013" t="s">
        <v>753</v>
      </c>
    </row>
    <row r="1015" spans="2:2" x14ac:dyDescent="0.3">
      <c r="B1015" t="s">
        <v>720</v>
      </c>
    </row>
    <row r="1016" spans="2:2" x14ac:dyDescent="0.3">
      <c r="B1016" t="s">
        <v>754</v>
      </c>
    </row>
    <row r="1017" spans="2:2" x14ac:dyDescent="0.3">
      <c r="B1017" t="s">
        <v>722</v>
      </c>
    </row>
    <row r="1018" spans="2:2" x14ac:dyDescent="0.3">
      <c r="B1018" t="s">
        <v>750</v>
      </c>
    </row>
    <row r="1019" spans="2:2" x14ac:dyDescent="0.3">
      <c r="B1019" t="s">
        <v>724</v>
      </c>
    </row>
    <row r="1020" spans="2:2" x14ac:dyDescent="0.3">
      <c r="B1020" t="s">
        <v>751</v>
      </c>
    </row>
    <row r="1021" spans="2:2" x14ac:dyDescent="0.3">
      <c r="B1021" t="s">
        <v>755</v>
      </c>
    </row>
    <row r="1022" spans="2:2" x14ac:dyDescent="0.3">
      <c r="B1022" t="s">
        <v>753</v>
      </c>
    </row>
    <row r="1024" spans="2:2" x14ac:dyDescent="0.3">
      <c r="B1024" t="s">
        <v>720</v>
      </c>
    </row>
    <row r="1025" spans="2:2" x14ac:dyDescent="0.3">
      <c r="B1025" t="s">
        <v>756</v>
      </c>
    </row>
    <row r="1026" spans="2:2" x14ac:dyDescent="0.3">
      <c r="B1026" t="s">
        <v>722</v>
      </c>
    </row>
    <row r="1027" spans="2:2" x14ac:dyDescent="0.3">
      <c r="B1027" t="s">
        <v>728</v>
      </c>
    </row>
    <row r="1028" spans="2:2" x14ac:dyDescent="0.3">
      <c r="B1028" t="s">
        <v>729</v>
      </c>
    </row>
    <row r="1029" spans="2:2" x14ac:dyDescent="0.3">
      <c r="B1029" t="s">
        <v>730</v>
      </c>
    </row>
    <row r="1030" spans="2:2" x14ac:dyDescent="0.3">
      <c r="B1030" t="s">
        <v>752</v>
      </c>
    </row>
    <row r="1031" spans="2:2" x14ac:dyDescent="0.3">
      <c r="B1031" t="s">
        <v>753</v>
      </c>
    </row>
    <row r="1033" spans="2:2" x14ac:dyDescent="0.3">
      <c r="B1033" t="s">
        <v>720</v>
      </c>
    </row>
    <row r="1034" spans="2:2" x14ac:dyDescent="0.3">
      <c r="B1034" t="s">
        <v>757</v>
      </c>
    </row>
    <row r="1035" spans="2:2" x14ac:dyDescent="0.3">
      <c r="B1035" t="s">
        <v>722</v>
      </c>
    </row>
    <row r="1036" spans="2:2" x14ac:dyDescent="0.3">
      <c r="B1036" t="s">
        <v>728</v>
      </c>
    </row>
    <row r="1037" spans="2:2" x14ac:dyDescent="0.3">
      <c r="B1037" t="s">
        <v>729</v>
      </c>
    </row>
    <row r="1038" spans="2:2" x14ac:dyDescent="0.3">
      <c r="B1038" t="s">
        <v>730</v>
      </c>
    </row>
    <row r="1039" spans="2:2" x14ac:dyDescent="0.3">
      <c r="B1039" t="s">
        <v>755</v>
      </c>
    </row>
    <row r="1040" spans="2:2" x14ac:dyDescent="0.3">
      <c r="B1040" t="s">
        <v>753</v>
      </c>
    </row>
    <row r="1042" spans="2:2" x14ac:dyDescent="0.3">
      <c r="B1042" t="s">
        <v>720</v>
      </c>
    </row>
    <row r="1043" spans="2:2" x14ac:dyDescent="0.3">
      <c r="B1043" t="s">
        <v>758</v>
      </c>
    </row>
    <row r="1044" spans="2:2" x14ac:dyDescent="0.3">
      <c r="B1044" t="s">
        <v>759</v>
      </c>
    </row>
    <row r="1046" spans="2:2" x14ac:dyDescent="0.3">
      <c r="B1046" t="s">
        <v>720</v>
      </c>
    </row>
    <row r="1047" spans="2:2" x14ac:dyDescent="0.3">
      <c r="B1047" t="s">
        <v>760</v>
      </c>
    </row>
    <row r="1048" spans="2:2" x14ac:dyDescent="0.3">
      <c r="B1048" t="s">
        <v>761</v>
      </c>
    </row>
    <row r="1050" spans="2:2" x14ac:dyDescent="0.3">
      <c r="B1050" t="s">
        <v>720</v>
      </c>
    </row>
    <row r="1051" spans="2:2" x14ac:dyDescent="0.3">
      <c r="B1051" t="s">
        <v>762</v>
      </c>
    </row>
    <row r="1052" spans="2:2" x14ac:dyDescent="0.3">
      <c r="B1052" t="s">
        <v>763</v>
      </c>
    </row>
    <row r="1055" spans="2:2" x14ac:dyDescent="0.3">
      <c r="B1055" t="s">
        <v>38</v>
      </c>
    </row>
    <row r="1057" spans="2:2" x14ac:dyDescent="0.3">
      <c r="B1057" t="s">
        <v>764</v>
      </c>
    </row>
    <row r="1058" spans="2:2" x14ac:dyDescent="0.3">
      <c r="B1058" t="s">
        <v>765</v>
      </c>
    </row>
    <row r="1059" spans="2:2" x14ac:dyDescent="0.3">
      <c r="B1059" t="s">
        <v>766</v>
      </c>
    </row>
    <row r="1060" spans="2:2" x14ac:dyDescent="0.3">
      <c r="B1060" t="s">
        <v>767</v>
      </c>
    </row>
    <row r="1061" spans="2:2" x14ac:dyDescent="0.3">
      <c r="B1061" t="s">
        <v>768</v>
      </c>
    </row>
    <row r="1062" spans="2:2" x14ac:dyDescent="0.3">
      <c r="B1062" t="s">
        <v>769</v>
      </c>
    </row>
    <row r="1065" spans="2:2" x14ac:dyDescent="0.3">
      <c r="B1065" t="s">
        <v>39</v>
      </c>
    </row>
    <row r="1067" spans="2:2" x14ac:dyDescent="0.3">
      <c r="B1067" t="s">
        <v>770</v>
      </c>
    </row>
    <row r="1068" spans="2:2" x14ac:dyDescent="0.3">
      <c r="B1068" t="s">
        <v>771</v>
      </c>
    </row>
    <row r="1069" spans="2:2" x14ac:dyDescent="0.3">
      <c r="B1069" t="s">
        <v>772</v>
      </c>
    </row>
    <row r="1070" spans="2:2" x14ac:dyDescent="0.3">
      <c r="B1070" t="s">
        <v>773</v>
      </c>
    </row>
    <row r="1071" spans="2:2" x14ac:dyDescent="0.3">
      <c r="B1071" t="s">
        <v>774</v>
      </c>
    </row>
    <row r="1072" spans="2:2" x14ac:dyDescent="0.3">
      <c r="B1072" t="s">
        <v>775</v>
      </c>
    </row>
    <row r="1074" spans="2:2" x14ac:dyDescent="0.3">
      <c r="B1074" t="s">
        <v>770</v>
      </c>
    </row>
    <row r="1075" spans="2:2" x14ac:dyDescent="0.3">
      <c r="B1075" t="s">
        <v>776</v>
      </c>
    </row>
    <row r="1076" spans="2:2" x14ac:dyDescent="0.3">
      <c r="B1076" t="s">
        <v>772</v>
      </c>
    </row>
    <row r="1077" spans="2:2" x14ac:dyDescent="0.3">
      <c r="B1077" t="s">
        <v>777</v>
      </c>
    </row>
    <row r="1078" spans="2:2" x14ac:dyDescent="0.3">
      <c r="B1078" t="s">
        <v>778</v>
      </c>
    </row>
    <row r="1079" spans="2:2" x14ac:dyDescent="0.3">
      <c r="B1079" t="s">
        <v>775</v>
      </c>
    </row>
    <row r="1081" spans="2:2" x14ac:dyDescent="0.3">
      <c r="B1081" t="s">
        <v>770</v>
      </c>
    </row>
    <row r="1082" spans="2:2" x14ac:dyDescent="0.3">
      <c r="B1082" t="s">
        <v>779</v>
      </c>
    </row>
    <row r="1083" spans="2:2" x14ac:dyDescent="0.3">
      <c r="B1083" t="s">
        <v>772</v>
      </c>
    </row>
    <row r="1084" spans="2:2" x14ac:dyDescent="0.3">
      <c r="B1084" t="s">
        <v>777</v>
      </c>
    </row>
    <row r="1085" spans="2:2" x14ac:dyDescent="0.3">
      <c r="B1085" t="s">
        <v>780</v>
      </c>
    </row>
    <row r="1086" spans="2:2" x14ac:dyDescent="0.3">
      <c r="B1086" t="s">
        <v>775</v>
      </c>
    </row>
    <row r="1088" spans="2:2" x14ac:dyDescent="0.3">
      <c r="B1088" t="s">
        <v>770</v>
      </c>
    </row>
    <row r="1089" spans="2:2" x14ac:dyDescent="0.3">
      <c r="B1089" t="s">
        <v>781</v>
      </c>
    </row>
    <row r="1090" spans="2:2" x14ac:dyDescent="0.3">
      <c r="B1090" t="s">
        <v>772</v>
      </c>
    </row>
    <row r="1091" spans="2:2" x14ac:dyDescent="0.3">
      <c r="B1091" t="s">
        <v>773</v>
      </c>
    </row>
    <row r="1092" spans="2:2" x14ac:dyDescent="0.3">
      <c r="B1092" t="s">
        <v>782</v>
      </c>
    </row>
    <row r="1093" spans="2:2" x14ac:dyDescent="0.3">
      <c r="B1093" t="s">
        <v>775</v>
      </c>
    </row>
    <row r="1095" spans="2:2" x14ac:dyDescent="0.3">
      <c r="B1095" t="s">
        <v>770</v>
      </c>
    </row>
    <row r="1096" spans="2:2" x14ac:dyDescent="0.3">
      <c r="B1096" t="s">
        <v>783</v>
      </c>
    </row>
    <row r="1097" spans="2:2" x14ac:dyDescent="0.3">
      <c r="B1097" t="s">
        <v>772</v>
      </c>
    </row>
    <row r="1098" spans="2:2" x14ac:dyDescent="0.3">
      <c r="B1098" t="s">
        <v>773</v>
      </c>
    </row>
    <row r="1099" spans="2:2" x14ac:dyDescent="0.3">
      <c r="B1099" t="s">
        <v>774</v>
      </c>
    </row>
    <row r="1100" spans="2:2" x14ac:dyDescent="0.3">
      <c r="B1100" t="s">
        <v>784</v>
      </c>
    </row>
    <row r="1102" spans="2:2" x14ac:dyDescent="0.3">
      <c r="B1102" t="s">
        <v>770</v>
      </c>
    </row>
    <row r="1103" spans="2:2" x14ac:dyDescent="0.3">
      <c r="B1103" t="s">
        <v>785</v>
      </c>
    </row>
    <row r="1104" spans="2:2" x14ac:dyDescent="0.3">
      <c r="B1104" t="s">
        <v>772</v>
      </c>
    </row>
    <row r="1105" spans="2:2" x14ac:dyDescent="0.3">
      <c r="B1105" t="s">
        <v>777</v>
      </c>
    </row>
    <row r="1106" spans="2:2" x14ac:dyDescent="0.3">
      <c r="B1106" t="s">
        <v>778</v>
      </c>
    </row>
    <row r="1107" spans="2:2" x14ac:dyDescent="0.3">
      <c r="B1107" t="s">
        <v>784</v>
      </c>
    </row>
    <row r="1109" spans="2:2" x14ac:dyDescent="0.3">
      <c r="B1109" t="s">
        <v>770</v>
      </c>
    </row>
    <row r="1110" spans="2:2" x14ac:dyDescent="0.3">
      <c r="B1110" t="s">
        <v>786</v>
      </c>
    </row>
    <row r="1111" spans="2:2" x14ac:dyDescent="0.3">
      <c r="B1111" t="s">
        <v>772</v>
      </c>
    </row>
    <row r="1112" spans="2:2" x14ac:dyDescent="0.3">
      <c r="B1112" t="s">
        <v>787</v>
      </c>
    </row>
    <row r="1113" spans="2:2" x14ac:dyDescent="0.3">
      <c r="B1113" t="s">
        <v>774</v>
      </c>
    </row>
    <row r="1114" spans="2:2" x14ac:dyDescent="0.3">
      <c r="B1114" t="s">
        <v>784</v>
      </c>
    </row>
    <row r="1117" spans="2:2" x14ac:dyDescent="0.3">
      <c r="B1117" t="s">
        <v>40</v>
      </c>
    </row>
    <row r="1119" spans="2:2" x14ac:dyDescent="0.3">
      <c r="B1119" t="s">
        <v>788</v>
      </c>
    </row>
    <row r="1120" spans="2:2" x14ac:dyDescent="0.3">
      <c r="B1120" t="s">
        <v>789</v>
      </c>
    </row>
    <row r="1121" spans="2:2" x14ac:dyDescent="0.3">
      <c r="B1121" t="s">
        <v>790</v>
      </c>
    </row>
    <row r="1122" spans="2:2" x14ac:dyDescent="0.3">
      <c r="B1122" t="s">
        <v>791</v>
      </c>
    </row>
    <row r="1123" spans="2:2" x14ac:dyDescent="0.3">
      <c r="B1123" t="s">
        <v>792</v>
      </c>
    </row>
    <row r="1124" spans="2:2" x14ac:dyDescent="0.3">
      <c r="B1124" t="s">
        <v>793</v>
      </c>
    </row>
    <row r="1125" spans="2:2" x14ac:dyDescent="0.3">
      <c r="B1125" t="s">
        <v>794</v>
      </c>
    </row>
    <row r="1126" spans="2:2" x14ac:dyDescent="0.3">
      <c r="B1126" t="s">
        <v>795</v>
      </c>
    </row>
    <row r="1127" spans="2:2" x14ac:dyDescent="0.3">
      <c r="B1127" t="s">
        <v>796</v>
      </c>
    </row>
    <row r="1130" spans="2:2" x14ac:dyDescent="0.3">
      <c r="B1130" t="s">
        <v>41</v>
      </c>
    </row>
    <row r="1132" spans="2:2" x14ac:dyDescent="0.3">
      <c r="B1132" t="s">
        <v>42</v>
      </c>
    </row>
    <row r="1133" spans="2:2" x14ac:dyDescent="0.3">
      <c r="B1133" t="s">
        <v>43</v>
      </c>
    </row>
    <row r="1134" spans="2:2" x14ac:dyDescent="0.3">
      <c r="B1134" t="s">
        <v>44</v>
      </c>
    </row>
    <row r="1135" spans="2:2" x14ac:dyDescent="0.3">
      <c r="B1135" t="s">
        <v>1351</v>
      </c>
    </row>
    <row r="1136" spans="2:2" x14ac:dyDescent="0.3">
      <c r="B1136" t="s">
        <v>45</v>
      </c>
    </row>
    <row r="1137" spans="2:2" x14ac:dyDescent="0.3">
      <c r="B1137" t="s">
        <v>46</v>
      </c>
    </row>
    <row r="1138" spans="2:2" x14ac:dyDescent="0.3">
      <c r="B1138" t="s">
        <v>47</v>
      </c>
    </row>
    <row r="1139" spans="2:2" x14ac:dyDescent="0.3">
      <c r="B1139" t="s">
        <v>48</v>
      </c>
    </row>
    <row r="1140" spans="2:2" x14ac:dyDescent="0.3">
      <c r="B1140" t="s">
        <v>49</v>
      </c>
    </row>
    <row r="1141" spans="2:2" x14ac:dyDescent="0.3">
      <c r="B1141" t="s">
        <v>50</v>
      </c>
    </row>
    <row r="1142" spans="2:2" x14ac:dyDescent="0.3">
      <c r="B1142" t="s">
        <v>51</v>
      </c>
    </row>
    <row r="1143" spans="2:2" x14ac:dyDescent="0.3">
      <c r="B1143" t="s">
        <v>52</v>
      </c>
    </row>
    <row r="1144" spans="2:2" x14ac:dyDescent="0.3">
      <c r="B1144" t="s">
        <v>53</v>
      </c>
    </row>
    <row r="1145" spans="2:2" x14ac:dyDescent="0.3">
      <c r="B1145" t="s">
        <v>54</v>
      </c>
    </row>
    <row r="1146" spans="2:2" x14ac:dyDescent="0.3">
      <c r="B1146" t="s">
        <v>55</v>
      </c>
    </row>
    <row r="1147" spans="2:2" x14ac:dyDescent="0.3">
      <c r="B1147" t="s">
        <v>56</v>
      </c>
    </row>
    <row r="1148" spans="2:2" x14ac:dyDescent="0.3">
      <c r="B1148" t="s">
        <v>57</v>
      </c>
    </row>
    <row r="1149" spans="2:2" x14ac:dyDescent="0.3">
      <c r="B1149" t="s">
        <v>58</v>
      </c>
    </row>
    <row r="1150" spans="2:2" x14ac:dyDescent="0.3">
      <c r="B1150" t="s">
        <v>59</v>
      </c>
    </row>
    <row r="1151" spans="2:2" x14ac:dyDescent="0.3">
      <c r="B1151" t="s">
        <v>60</v>
      </c>
    </row>
    <row r="1152" spans="2:2" x14ac:dyDescent="0.3">
      <c r="B1152" t="s">
        <v>61</v>
      </c>
    </row>
    <row r="1153" spans="2:2" x14ac:dyDescent="0.3">
      <c r="B1153" t="s">
        <v>62</v>
      </c>
    </row>
    <row r="1154" spans="2:2" x14ac:dyDescent="0.3">
      <c r="B1154" t="s">
        <v>63</v>
      </c>
    </row>
    <row r="1155" spans="2:2" x14ac:dyDescent="0.3">
      <c r="B1155" t="s">
        <v>1263</v>
      </c>
    </row>
    <row r="1156" spans="2:2" x14ac:dyDescent="0.3">
      <c r="B1156" t="s">
        <v>42</v>
      </c>
    </row>
    <row r="1157" spans="2:2" x14ac:dyDescent="0.3">
      <c r="B1157" t="s">
        <v>64</v>
      </c>
    </row>
    <row r="1158" spans="2:2" x14ac:dyDescent="0.3">
      <c r="B1158" t="s">
        <v>44</v>
      </c>
    </row>
    <row r="1159" spans="2:2" x14ac:dyDescent="0.3">
      <c r="B1159" t="s">
        <v>1351</v>
      </c>
    </row>
    <row r="1160" spans="2:2" x14ac:dyDescent="0.3">
      <c r="B1160" t="s">
        <v>45</v>
      </c>
    </row>
    <row r="1161" spans="2:2" x14ac:dyDescent="0.3">
      <c r="B1161" t="s">
        <v>46</v>
      </c>
    </row>
    <row r="1162" spans="2:2" x14ac:dyDescent="0.3">
      <c r="B1162" t="s">
        <v>65</v>
      </c>
    </row>
    <row r="1163" spans="2:2" x14ac:dyDescent="0.3">
      <c r="B1163" t="s">
        <v>48</v>
      </c>
    </row>
    <row r="1164" spans="2:2" x14ac:dyDescent="0.3">
      <c r="B1164" t="s">
        <v>49</v>
      </c>
    </row>
    <row r="1165" spans="2:2" x14ac:dyDescent="0.3">
      <c r="B1165" t="s">
        <v>50</v>
      </c>
    </row>
    <row r="1166" spans="2:2" x14ac:dyDescent="0.3">
      <c r="B1166" t="s">
        <v>51</v>
      </c>
    </row>
    <row r="1167" spans="2:2" x14ac:dyDescent="0.3">
      <c r="B1167" t="s">
        <v>52</v>
      </c>
    </row>
    <row r="1168" spans="2:2" x14ac:dyDescent="0.3">
      <c r="B1168" t="s">
        <v>66</v>
      </c>
    </row>
    <row r="1169" spans="2:2" x14ac:dyDescent="0.3">
      <c r="B1169" t="s">
        <v>54</v>
      </c>
    </row>
    <row r="1170" spans="2:2" x14ac:dyDescent="0.3">
      <c r="B1170" t="s">
        <v>55</v>
      </c>
    </row>
    <row r="1171" spans="2:2" x14ac:dyDescent="0.3">
      <c r="B1171" t="s">
        <v>67</v>
      </c>
    </row>
    <row r="1172" spans="2:2" x14ac:dyDescent="0.3">
      <c r="B1172" t="s">
        <v>57</v>
      </c>
    </row>
    <row r="1173" spans="2:2" x14ac:dyDescent="0.3">
      <c r="B1173" t="s">
        <v>58</v>
      </c>
    </row>
    <row r="1174" spans="2:2" x14ac:dyDescent="0.3">
      <c r="B1174" t="s">
        <v>68</v>
      </c>
    </row>
    <row r="1175" spans="2:2" x14ac:dyDescent="0.3">
      <c r="B1175" t="s">
        <v>60</v>
      </c>
    </row>
    <row r="1176" spans="2:2" x14ac:dyDescent="0.3">
      <c r="B1176" t="s">
        <v>61</v>
      </c>
    </row>
    <row r="1177" spans="2:2" x14ac:dyDescent="0.3">
      <c r="B1177" t="s">
        <v>69</v>
      </c>
    </row>
    <row r="1178" spans="2:2" x14ac:dyDescent="0.3">
      <c r="B1178" t="s">
        <v>63</v>
      </c>
    </row>
    <row r="1179" spans="2:2" x14ac:dyDescent="0.3">
      <c r="B1179" t="s">
        <v>1263</v>
      </c>
    </row>
    <row r="1180" spans="2:2" x14ac:dyDescent="0.3">
      <c r="B1180" t="s">
        <v>42</v>
      </c>
    </row>
    <row r="1181" spans="2:2" x14ac:dyDescent="0.3">
      <c r="B1181" t="s">
        <v>70</v>
      </c>
    </row>
    <row r="1182" spans="2:2" x14ac:dyDescent="0.3">
      <c r="B1182" t="s">
        <v>44</v>
      </c>
    </row>
    <row r="1183" spans="2:2" x14ac:dyDescent="0.3">
      <c r="B1183" t="s">
        <v>1352</v>
      </c>
    </row>
    <row r="1184" spans="2:2" x14ac:dyDescent="0.3">
      <c r="B1184" t="s">
        <v>45</v>
      </c>
    </row>
    <row r="1185" spans="2:2" x14ac:dyDescent="0.3">
      <c r="B1185" t="s">
        <v>71</v>
      </c>
    </row>
    <row r="1186" spans="2:2" x14ac:dyDescent="0.3">
      <c r="B1186" t="s">
        <v>72</v>
      </c>
    </row>
    <row r="1187" spans="2:2" x14ac:dyDescent="0.3">
      <c r="B1187" t="s">
        <v>73</v>
      </c>
    </row>
    <row r="1188" spans="2:2" x14ac:dyDescent="0.3">
      <c r="B1188" t="s">
        <v>74</v>
      </c>
    </row>
    <row r="1189" spans="2:2" x14ac:dyDescent="0.3">
      <c r="B1189" t="s">
        <v>50</v>
      </c>
    </row>
    <row r="1190" spans="2:2" x14ac:dyDescent="0.3">
      <c r="B1190" t="s">
        <v>51</v>
      </c>
    </row>
    <row r="1191" spans="2:2" x14ac:dyDescent="0.3">
      <c r="B1191" t="s">
        <v>52</v>
      </c>
    </row>
    <row r="1192" spans="2:2" x14ac:dyDescent="0.3">
      <c r="B1192" t="s">
        <v>75</v>
      </c>
    </row>
    <row r="1193" spans="2:2" x14ac:dyDescent="0.3">
      <c r="B1193" t="s">
        <v>54</v>
      </c>
    </row>
    <row r="1194" spans="2:2" x14ac:dyDescent="0.3">
      <c r="B1194" t="s">
        <v>55</v>
      </c>
    </row>
    <row r="1195" spans="2:2" x14ac:dyDescent="0.3">
      <c r="B1195" t="s">
        <v>76</v>
      </c>
    </row>
    <row r="1196" spans="2:2" x14ac:dyDescent="0.3">
      <c r="B1196" t="s">
        <v>57</v>
      </c>
    </row>
    <row r="1197" spans="2:2" x14ac:dyDescent="0.3">
      <c r="B1197" t="s">
        <v>58</v>
      </c>
    </row>
    <row r="1198" spans="2:2" x14ac:dyDescent="0.3">
      <c r="B1198" t="s">
        <v>77</v>
      </c>
    </row>
    <row r="1199" spans="2:2" x14ac:dyDescent="0.3">
      <c r="B1199" t="s">
        <v>60</v>
      </c>
    </row>
    <row r="1200" spans="2:2" x14ac:dyDescent="0.3">
      <c r="B1200" t="s">
        <v>61</v>
      </c>
    </row>
    <row r="1201" spans="2:2" x14ac:dyDescent="0.3">
      <c r="B1201" t="s">
        <v>78</v>
      </c>
    </row>
    <row r="1202" spans="2:2" x14ac:dyDescent="0.3">
      <c r="B1202" t="s">
        <v>63</v>
      </c>
    </row>
    <row r="1203" spans="2:2" x14ac:dyDescent="0.3">
      <c r="B1203" t="s">
        <v>1263</v>
      </c>
    </row>
    <row r="1204" spans="2:2" x14ac:dyDescent="0.3">
      <c r="B1204" t="s">
        <v>42</v>
      </c>
    </row>
    <row r="1205" spans="2:2" x14ac:dyDescent="0.3">
      <c r="B1205" t="s">
        <v>79</v>
      </c>
    </row>
    <row r="1206" spans="2:2" x14ac:dyDescent="0.3">
      <c r="B1206" t="s">
        <v>44</v>
      </c>
    </row>
    <row r="1207" spans="2:2" x14ac:dyDescent="0.3">
      <c r="B1207" t="s">
        <v>1352</v>
      </c>
    </row>
    <row r="1208" spans="2:2" x14ac:dyDescent="0.3">
      <c r="B1208" t="s">
        <v>45</v>
      </c>
    </row>
    <row r="1209" spans="2:2" x14ac:dyDescent="0.3">
      <c r="B1209" t="s">
        <v>71</v>
      </c>
    </row>
    <row r="1210" spans="2:2" x14ac:dyDescent="0.3">
      <c r="B1210" t="s">
        <v>72</v>
      </c>
    </row>
    <row r="1211" spans="2:2" x14ac:dyDescent="0.3">
      <c r="B1211" t="s">
        <v>73</v>
      </c>
    </row>
    <row r="1212" spans="2:2" x14ac:dyDescent="0.3">
      <c r="B1212" t="s">
        <v>74</v>
      </c>
    </row>
    <row r="1213" spans="2:2" x14ac:dyDescent="0.3">
      <c r="B1213" t="s">
        <v>50</v>
      </c>
    </row>
    <row r="1214" spans="2:2" x14ac:dyDescent="0.3">
      <c r="B1214" t="s">
        <v>51</v>
      </c>
    </row>
    <row r="1215" spans="2:2" x14ac:dyDescent="0.3">
      <c r="B1215" t="s">
        <v>52</v>
      </c>
    </row>
    <row r="1216" spans="2:2" x14ac:dyDescent="0.3">
      <c r="B1216" t="s">
        <v>80</v>
      </c>
    </row>
    <row r="1217" spans="2:2" x14ac:dyDescent="0.3">
      <c r="B1217" t="s">
        <v>54</v>
      </c>
    </row>
    <row r="1218" spans="2:2" x14ac:dyDescent="0.3">
      <c r="B1218" t="s">
        <v>55</v>
      </c>
    </row>
    <row r="1219" spans="2:2" x14ac:dyDescent="0.3">
      <c r="B1219" t="s">
        <v>81</v>
      </c>
    </row>
    <row r="1220" spans="2:2" x14ac:dyDescent="0.3">
      <c r="B1220" t="s">
        <v>57</v>
      </c>
    </row>
    <row r="1221" spans="2:2" x14ac:dyDescent="0.3">
      <c r="B1221" t="s">
        <v>82</v>
      </c>
    </row>
    <row r="1222" spans="2:2" x14ac:dyDescent="0.3">
      <c r="B1222" t="s">
        <v>68</v>
      </c>
    </row>
    <row r="1223" spans="2:2" x14ac:dyDescent="0.3">
      <c r="B1223" t="s">
        <v>60</v>
      </c>
    </row>
    <row r="1224" spans="2:2" x14ac:dyDescent="0.3">
      <c r="B1224" t="s">
        <v>83</v>
      </c>
    </row>
    <row r="1225" spans="2:2" x14ac:dyDescent="0.3">
      <c r="B1225" t="s">
        <v>69</v>
      </c>
    </row>
    <row r="1226" spans="2:2" x14ac:dyDescent="0.3">
      <c r="B1226" t="s">
        <v>63</v>
      </c>
    </row>
    <row r="1227" spans="2:2" x14ac:dyDescent="0.3">
      <c r="B1227" t="s">
        <v>1263</v>
      </c>
    </row>
    <row r="1228" spans="2:2" x14ac:dyDescent="0.3">
      <c r="B1228" t="s">
        <v>42</v>
      </c>
    </row>
    <row r="1229" spans="2:2" x14ac:dyDescent="0.3">
      <c r="B1229" t="s">
        <v>84</v>
      </c>
    </row>
    <row r="1230" spans="2:2" x14ac:dyDescent="0.3">
      <c r="B1230" t="s">
        <v>44</v>
      </c>
    </row>
    <row r="1231" spans="2:2" x14ac:dyDescent="0.3">
      <c r="B1231" t="s">
        <v>1352</v>
      </c>
    </row>
    <row r="1232" spans="2:2" x14ac:dyDescent="0.3">
      <c r="B1232" t="s">
        <v>45</v>
      </c>
    </row>
    <row r="1233" spans="2:2" x14ac:dyDescent="0.3">
      <c r="B1233" t="s">
        <v>71</v>
      </c>
    </row>
    <row r="1234" spans="2:2" x14ac:dyDescent="0.3">
      <c r="B1234" t="s">
        <v>72</v>
      </c>
    </row>
    <row r="1235" spans="2:2" x14ac:dyDescent="0.3">
      <c r="B1235" t="s">
        <v>73</v>
      </c>
    </row>
    <row r="1236" spans="2:2" x14ac:dyDescent="0.3">
      <c r="B1236" t="s">
        <v>74</v>
      </c>
    </row>
    <row r="1237" spans="2:2" x14ac:dyDescent="0.3">
      <c r="B1237" t="s">
        <v>50</v>
      </c>
    </row>
    <row r="1238" spans="2:2" x14ac:dyDescent="0.3">
      <c r="B1238" t="s">
        <v>51</v>
      </c>
    </row>
    <row r="1239" spans="2:2" x14ac:dyDescent="0.3">
      <c r="B1239" t="s">
        <v>85</v>
      </c>
    </row>
    <row r="1240" spans="2:2" x14ac:dyDescent="0.3">
      <c r="B1240" t="s">
        <v>86</v>
      </c>
    </row>
    <row r="1241" spans="2:2" x14ac:dyDescent="0.3">
      <c r="B1241" t="s">
        <v>54</v>
      </c>
    </row>
    <row r="1242" spans="2:2" x14ac:dyDescent="0.3">
      <c r="B1242" t="s">
        <v>87</v>
      </c>
    </row>
    <row r="1243" spans="2:2" x14ac:dyDescent="0.3">
      <c r="B1243" t="s">
        <v>88</v>
      </c>
    </row>
    <row r="1244" spans="2:2" x14ac:dyDescent="0.3">
      <c r="B1244" t="s">
        <v>57</v>
      </c>
    </row>
    <row r="1245" spans="2:2" x14ac:dyDescent="0.3">
      <c r="B1245" t="s">
        <v>89</v>
      </c>
    </row>
    <row r="1246" spans="2:2" x14ac:dyDescent="0.3">
      <c r="B1246" t="s">
        <v>90</v>
      </c>
    </row>
    <row r="1247" spans="2:2" x14ac:dyDescent="0.3">
      <c r="B1247" t="s">
        <v>60</v>
      </c>
    </row>
    <row r="1248" spans="2:2" x14ac:dyDescent="0.3">
      <c r="B1248" t="s">
        <v>91</v>
      </c>
    </row>
    <row r="1249" spans="2:2" x14ac:dyDescent="0.3">
      <c r="B1249" t="s">
        <v>92</v>
      </c>
    </row>
    <row r="1250" spans="2:2" x14ac:dyDescent="0.3">
      <c r="B1250" t="s">
        <v>63</v>
      </c>
    </row>
    <row r="1251" spans="2:2" x14ac:dyDescent="0.3">
      <c r="B1251" t="s">
        <v>1263</v>
      </c>
    </row>
    <row r="1252" spans="2:2" x14ac:dyDescent="0.3">
      <c r="B1252" t="s">
        <v>42</v>
      </c>
    </row>
    <row r="1253" spans="2:2" x14ac:dyDescent="0.3">
      <c r="B1253" t="s">
        <v>93</v>
      </c>
    </row>
    <row r="1254" spans="2:2" x14ac:dyDescent="0.3">
      <c r="B1254" t="s">
        <v>44</v>
      </c>
    </row>
    <row r="1255" spans="2:2" x14ac:dyDescent="0.3">
      <c r="B1255" t="s">
        <v>1352</v>
      </c>
    </row>
    <row r="1256" spans="2:2" x14ac:dyDescent="0.3">
      <c r="B1256" t="s">
        <v>45</v>
      </c>
    </row>
    <row r="1257" spans="2:2" x14ac:dyDescent="0.3">
      <c r="B1257" t="s">
        <v>71</v>
      </c>
    </row>
    <row r="1258" spans="2:2" x14ac:dyDescent="0.3">
      <c r="B1258" t="s">
        <v>72</v>
      </c>
    </row>
    <row r="1259" spans="2:2" x14ac:dyDescent="0.3">
      <c r="B1259" t="s">
        <v>73</v>
      </c>
    </row>
    <row r="1260" spans="2:2" x14ac:dyDescent="0.3">
      <c r="B1260" t="s">
        <v>74</v>
      </c>
    </row>
    <row r="1261" spans="2:2" x14ac:dyDescent="0.3">
      <c r="B1261" t="s">
        <v>50</v>
      </c>
    </row>
    <row r="1262" spans="2:2" x14ac:dyDescent="0.3">
      <c r="B1262" t="s">
        <v>51</v>
      </c>
    </row>
    <row r="1263" spans="2:2" x14ac:dyDescent="0.3">
      <c r="B1263" t="s">
        <v>85</v>
      </c>
    </row>
    <row r="1264" spans="2:2" x14ac:dyDescent="0.3">
      <c r="B1264" t="s">
        <v>75</v>
      </c>
    </row>
    <row r="1265" spans="2:2" x14ac:dyDescent="0.3">
      <c r="B1265" t="s">
        <v>54</v>
      </c>
    </row>
    <row r="1266" spans="2:2" x14ac:dyDescent="0.3">
      <c r="B1266" t="s">
        <v>87</v>
      </c>
    </row>
    <row r="1267" spans="2:2" x14ac:dyDescent="0.3">
      <c r="B1267" t="s">
        <v>76</v>
      </c>
    </row>
    <row r="1268" spans="2:2" x14ac:dyDescent="0.3">
      <c r="B1268" t="s">
        <v>57</v>
      </c>
    </row>
    <row r="1269" spans="2:2" x14ac:dyDescent="0.3">
      <c r="B1269" t="s">
        <v>58</v>
      </c>
    </row>
    <row r="1270" spans="2:2" x14ac:dyDescent="0.3">
      <c r="B1270" t="s">
        <v>90</v>
      </c>
    </row>
    <row r="1271" spans="2:2" x14ac:dyDescent="0.3">
      <c r="B1271" t="s">
        <v>60</v>
      </c>
    </row>
    <row r="1272" spans="2:2" x14ac:dyDescent="0.3">
      <c r="B1272" t="s">
        <v>61</v>
      </c>
    </row>
    <row r="1273" spans="2:2" x14ac:dyDescent="0.3">
      <c r="B1273" t="s">
        <v>92</v>
      </c>
    </row>
    <row r="1274" spans="2:2" x14ac:dyDescent="0.3">
      <c r="B1274" t="s">
        <v>63</v>
      </c>
    </row>
    <row r="1275" spans="2:2" x14ac:dyDescent="0.3">
      <c r="B1275" t="s">
        <v>1263</v>
      </c>
    </row>
    <row r="1276" spans="2:2" x14ac:dyDescent="0.3">
      <c r="B1276" t="s">
        <v>42</v>
      </c>
    </row>
    <row r="1277" spans="2:2" x14ac:dyDescent="0.3">
      <c r="B1277" t="s">
        <v>94</v>
      </c>
    </row>
    <row r="1278" spans="2:2" x14ac:dyDescent="0.3">
      <c r="B1278" t="s">
        <v>44</v>
      </c>
    </row>
    <row r="1279" spans="2:2" x14ac:dyDescent="0.3">
      <c r="B1279" t="s">
        <v>1352</v>
      </c>
    </row>
    <row r="1280" spans="2:2" x14ac:dyDescent="0.3">
      <c r="B1280" t="s">
        <v>45</v>
      </c>
    </row>
    <row r="1281" spans="2:2" x14ac:dyDescent="0.3">
      <c r="B1281" t="s">
        <v>46</v>
      </c>
    </row>
    <row r="1282" spans="2:2" x14ac:dyDescent="0.3">
      <c r="B1282" t="s">
        <v>95</v>
      </c>
    </row>
    <row r="1283" spans="2:2" x14ac:dyDescent="0.3">
      <c r="B1283" t="s">
        <v>48</v>
      </c>
    </row>
    <row r="1284" spans="2:2" x14ac:dyDescent="0.3">
      <c r="B1284" t="s">
        <v>49</v>
      </c>
    </row>
    <row r="1285" spans="2:2" x14ac:dyDescent="0.3">
      <c r="B1285" t="s">
        <v>50</v>
      </c>
    </row>
    <row r="1286" spans="2:2" x14ac:dyDescent="0.3">
      <c r="B1286" t="s">
        <v>51</v>
      </c>
    </row>
    <row r="1287" spans="2:2" x14ac:dyDescent="0.3">
      <c r="B1287" t="s">
        <v>96</v>
      </c>
    </row>
    <row r="1288" spans="2:2" x14ac:dyDescent="0.3">
      <c r="B1288" t="s">
        <v>86</v>
      </c>
    </row>
    <row r="1289" spans="2:2" x14ac:dyDescent="0.3">
      <c r="B1289" t="s">
        <v>54</v>
      </c>
    </row>
    <row r="1290" spans="2:2" x14ac:dyDescent="0.3">
      <c r="B1290" t="s">
        <v>97</v>
      </c>
    </row>
    <row r="1291" spans="2:2" x14ac:dyDescent="0.3">
      <c r="B1291" t="s">
        <v>88</v>
      </c>
    </row>
    <row r="1292" spans="2:2" x14ac:dyDescent="0.3">
      <c r="B1292" t="s">
        <v>57</v>
      </c>
    </row>
    <row r="1293" spans="2:2" x14ac:dyDescent="0.3">
      <c r="B1293" t="s">
        <v>89</v>
      </c>
    </row>
    <row r="1294" spans="2:2" x14ac:dyDescent="0.3">
      <c r="B1294" t="s">
        <v>98</v>
      </c>
    </row>
    <row r="1295" spans="2:2" x14ac:dyDescent="0.3">
      <c r="B1295" t="s">
        <v>60</v>
      </c>
    </row>
    <row r="1296" spans="2:2" x14ac:dyDescent="0.3">
      <c r="B1296" t="s">
        <v>91</v>
      </c>
    </row>
    <row r="1297" spans="2:2" x14ac:dyDescent="0.3">
      <c r="B1297" t="s">
        <v>99</v>
      </c>
    </row>
    <row r="1298" spans="2:2" x14ac:dyDescent="0.3">
      <c r="B1298" t="s">
        <v>63</v>
      </c>
    </row>
    <row r="1299" spans="2:2" x14ac:dyDescent="0.3">
      <c r="B1299" t="s">
        <v>1263</v>
      </c>
    </row>
    <row r="1300" spans="2:2" x14ac:dyDescent="0.3">
      <c r="B1300" t="s">
        <v>42</v>
      </c>
    </row>
    <row r="1301" spans="2:2" x14ac:dyDescent="0.3">
      <c r="B1301" t="s">
        <v>100</v>
      </c>
    </row>
    <row r="1302" spans="2:2" x14ac:dyDescent="0.3">
      <c r="B1302" t="s">
        <v>44</v>
      </c>
    </row>
    <row r="1303" spans="2:2" x14ac:dyDescent="0.3">
      <c r="B1303" t="s">
        <v>1352</v>
      </c>
    </row>
    <row r="1304" spans="2:2" x14ac:dyDescent="0.3">
      <c r="B1304" t="s">
        <v>45</v>
      </c>
    </row>
    <row r="1305" spans="2:2" x14ac:dyDescent="0.3">
      <c r="B1305" t="s">
        <v>46</v>
      </c>
    </row>
    <row r="1306" spans="2:2" x14ac:dyDescent="0.3">
      <c r="B1306" t="s">
        <v>101</v>
      </c>
    </row>
    <row r="1307" spans="2:2" x14ac:dyDescent="0.3">
      <c r="B1307" t="s">
        <v>48</v>
      </c>
    </row>
    <row r="1308" spans="2:2" x14ac:dyDescent="0.3">
      <c r="B1308" t="s">
        <v>49</v>
      </c>
    </row>
    <row r="1309" spans="2:2" x14ac:dyDescent="0.3">
      <c r="B1309" t="s">
        <v>50</v>
      </c>
    </row>
    <row r="1310" spans="2:2" x14ac:dyDescent="0.3">
      <c r="B1310" t="s">
        <v>51</v>
      </c>
    </row>
    <row r="1311" spans="2:2" x14ac:dyDescent="0.3">
      <c r="B1311" t="s">
        <v>96</v>
      </c>
    </row>
    <row r="1312" spans="2:2" x14ac:dyDescent="0.3">
      <c r="B1312" t="s">
        <v>80</v>
      </c>
    </row>
    <row r="1313" spans="2:2" x14ac:dyDescent="0.3">
      <c r="B1313" t="s">
        <v>54</v>
      </c>
    </row>
    <row r="1314" spans="2:2" x14ac:dyDescent="0.3">
      <c r="B1314" t="s">
        <v>97</v>
      </c>
    </row>
    <row r="1315" spans="2:2" x14ac:dyDescent="0.3">
      <c r="B1315" t="s">
        <v>81</v>
      </c>
    </row>
    <row r="1316" spans="2:2" x14ac:dyDescent="0.3">
      <c r="B1316" t="s">
        <v>57</v>
      </c>
    </row>
    <row r="1317" spans="2:2" x14ac:dyDescent="0.3">
      <c r="B1317" t="s">
        <v>82</v>
      </c>
    </row>
    <row r="1318" spans="2:2" x14ac:dyDescent="0.3">
      <c r="B1318" t="s">
        <v>98</v>
      </c>
    </row>
    <row r="1319" spans="2:2" x14ac:dyDescent="0.3">
      <c r="B1319" t="s">
        <v>60</v>
      </c>
    </row>
    <row r="1320" spans="2:2" x14ac:dyDescent="0.3">
      <c r="B1320" t="s">
        <v>83</v>
      </c>
    </row>
    <row r="1321" spans="2:2" x14ac:dyDescent="0.3">
      <c r="B1321" t="s">
        <v>99</v>
      </c>
    </row>
    <row r="1322" spans="2:2" x14ac:dyDescent="0.3">
      <c r="B1322" t="s">
        <v>63</v>
      </c>
    </row>
    <row r="1323" spans="2:2" x14ac:dyDescent="0.3">
      <c r="B1323" t="s">
        <v>1263</v>
      </c>
    </row>
    <row r="1324" spans="2:2" x14ac:dyDescent="0.3">
      <c r="B1324" t="s">
        <v>42</v>
      </c>
    </row>
    <row r="1325" spans="2:2" x14ac:dyDescent="0.3">
      <c r="B1325" t="s">
        <v>102</v>
      </c>
    </row>
    <row r="1326" spans="2:2" x14ac:dyDescent="0.3">
      <c r="B1326" t="s">
        <v>44</v>
      </c>
    </row>
    <row r="1327" spans="2:2" x14ac:dyDescent="0.3">
      <c r="B1327" t="s">
        <v>1352</v>
      </c>
    </row>
    <row r="1328" spans="2:2" x14ac:dyDescent="0.3">
      <c r="B1328" t="s">
        <v>45</v>
      </c>
    </row>
    <row r="1329" spans="2:2" x14ac:dyDescent="0.3">
      <c r="B1329" t="s">
        <v>71</v>
      </c>
    </row>
    <row r="1330" spans="2:2" x14ac:dyDescent="0.3">
      <c r="B1330" t="s">
        <v>72</v>
      </c>
    </row>
    <row r="1331" spans="2:2" x14ac:dyDescent="0.3">
      <c r="B1331" t="s">
        <v>73</v>
      </c>
    </row>
    <row r="1332" spans="2:2" x14ac:dyDescent="0.3">
      <c r="B1332" t="s">
        <v>74</v>
      </c>
    </row>
    <row r="1333" spans="2:2" x14ac:dyDescent="0.3">
      <c r="B1333" t="s">
        <v>50</v>
      </c>
    </row>
    <row r="1334" spans="2:2" x14ac:dyDescent="0.3">
      <c r="B1334" t="s">
        <v>51</v>
      </c>
    </row>
    <row r="1335" spans="2:2" x14ac:dyDescent="0.3">
      <c r="B1335" t="s">
        <v>96</v>
      </c>
    </row>
    <row r="1336" spans="2:2" x14ac:dyDescent="0.3">
      <c r="B1336" t="s">
        <v>80</v>
      </c>
    </row>
    <row r="1337" spans="2:2" x14ac:dyDescent="0.3">
      <c r="B1337" t="s">
        <v>54</v>
      </c>
    </row>
    <row r="1338" spans="2:2" x14ac:dyDescent="0.3">
      <c r="B1338" t="s">
        <v>97</v>
      </c>
    </row>
    <row r="1339" spans="2:2" x14ac:dyDescent="0.3">
      <c r="B1339" t="s">
        <v>81</v>
      </c>
    </row>
    <row r="1340" spans="2:2" x14ac:dyDescent="0.3">
      <c r="B1340" t="s">
        <v>57</v>
      </c>
    </row>
    <row r="1341" spans="2:2" x14ac:dyDescent="0.3">
      <c r="B1341" t="s">
        <v>82</v>
      </c>
    </row>
    <row r="1342" spans="2:2" x14ac:dyDescent="0.3">
      <c r="B1342" t="s">
        <v>98</v>
      </c>
    </row>
    <row r="1343" spans="2:2" x14ac:dyDescent="0.3">
      <c r="B1343" t="s">
        <v>60</v>
      </c>
    </row>
    <row r="1344" spans="2:2" x14ac:dyDescent="0.3">
      <c r="B1344" t="s">
        <v>83</v>
      </c>
    </row>
    <row r="1345" spans="2:2" x14ac:dyDescent="0.3">
      <c r="B1345" t="s">
        <v>99</v>
      </c>
    </row>
    <row r="1346" spans="2:2" x14ac:dyDescent="0.3">
      <c r="B1346" t="s">
        <v>63</v>
      </c>
    </row>
    <row r="1347" spans="2:2" x14ac:dyDescent="0.3">
      <c r="B1347" t="s">
        <v>1263</v>
      </c>
    </row>
    <row r="1348" spans="2:2" x14ac:dyDescent="0.3">
      <c r="B1348" t="s">
        <v>42</v>
      </c>
    </row>
    <row r="1349" spans="2:2" x14ac:dyDescent="0.3">
      <c r="B1349" t="s">
        <v>103</v>
      </c>
    </row>
    <row r="1350" spans="2:2" x14ac:dyDescent="0.3">
      <c r="B1350" t="s">
        <v>104</v>
      </c>
    </row>
    <row r="1351" spans="2:2" x14ac:dyDescent="0.3">
      <c r="B1351" t="s">
        <v>105</v>
      </c>
    </row>
    <row r="1352" spans="2:2" x14ac:dyDescent="0.3">
      <c r="B1352" t="s">
        <v>45</v>
      </c>
    </row>
    <row r="1353" spans="2:2" x14ac:dyDescent="0.3">
      <c r="B1353" t="s">
        <v>106</v>
      </c>
    </row>
    <row r="1354" spans="2:2" x14ac:dyDescent="0.3">
      <c r="B1354" t="s">
        <v>72</v>
      </c>
    </row>
    <row r="1355" spans="2:2" x14ac:dyDescent="0.3">
      <c r="B1355" t="s">
        <v>48</v>
      </c>
    </row>
    <row r="1356" spans="2:2" x14ac:dyDescent="0.3">
      <c r="B1356" t="s">
        <v>49</v>
      </c>
    </row>
    <row r="1357" spans="2:2" x14ac:dyDescent="0.3">
      <c r="B1357" t="s">
        <v>50</v>
      </c>
    </row>
    <row r="1358" spans="2:2" x14ac:dyDescent="0.3">
      <c r="B1358" t="s">
        <v>51</v>
      </c>
    </row>
    <row r="1359" spans="2:2" x14ac:dyDescent="0.3">
      <c r="B1359" t="s">
        <v>52</v>
      </c>
    </row>
    <row r="1360" spans="2:2" x14ac:dyDescent="0.3">
      <c r="B1360" t="s">
        <v>80</v>
      </c>
    </row>
    <row r="1361" spans="2:2" x14ac:dyDescent="0.3">
      <c r="B1361" t="s">
        <v>107</v>
      </c>
    </row>
    <row r="1362" spans="2:2" x14ac:dyDescent="0.3">
      <c r="B1362" t="s">
        <v>55</v>
      </c>
    </row>
    <row r="1363" spans="2:2" x14ac:dyDescent="0.3">
      <c r="B1363" t="s">
        <v>76</v>
      </c>
    </row>
    <row r="1364" spans="2:2" x14ac:dyDescent="0.3">
      <c r="B1364" t="s">
        <v>57</v>
      </c>
    </row>
    <row r="1365" spans="2:2" x14ac:dyDescent="0.3">
      <c r="B1365" t="s">
        <v>89</v>
      </c>
    </row>
    <row r="1366" spans="2:2" x14ac:dyDescent="0.3">
      <c r="B1366" t="s">
        <v>90</v>
      </c>
    </row>
    <row r="1367" spans="2:2" x14ac:dyDescent="0.3">
      <c r="B1367" t="s">
        <v>60</v>
      </c>
    </row>
    <row r="1368" spans="2:2" x14ac:dyDescent="0.3">
      <c r="B1368" t="s">
        <v>91</v>
      </c>
    </row>
    <row r="1369" spans="2:2" x14ac:dyDescent="0.3">
      <c r="B1369" t="s">
        <v>99</v>
      </c>
    </row>
    <row r="1370" spans="2:2" x14ac:dyDescent="0.3">
      <c r="B1370" t="s">
        <v>108</v>
      </c>
    </row>
    <row r="1371" spans="2:2" x14ac:dyDescent="0.3">
      <c r="B1371" t="s">
        <v>109</v>
      </c>
    </row>
    <row r="1372" spans="2:2" x14ac:dyDescent="0.3">
      <c r="B1372" t="s">
        <v>110</v>
      </c>
    </row>
    <row r="1373" spans="2:2" x14ac:dyDescent="0.3">
      <c r="B1373" t="s">
        <v>111</v>
      </c>
    </row>
    <row r="1374" spans="2:2" x14ac:dyDescent="0.3">
      <c r="B1374" t="s">
        <v>112</v>
      </c>
    </row>
    <row r="1375" spans="2:2" x14ac:dyDescent="0.3">
      <c r="B1375" t="s">
        <v>113</v>
      </c>
    </row>
    <row r="1376" spans="2:2" x14ac:dyDescent="0.3">
      <c r="B1376" t="s">
        <v>114</v>
      </c>
    </row>
    <row r="1377" spans="2:2" x14ac:dyDescent="0.3">
      <c r="B1377" t="s">
        <v>1263</v>
      </c>
    </row>
    <row r="1378" spans="2:2" x14ac:dyDescent="0.3">
      <c r="B1378" t="s">
        <v>42</v>
      </c>
    </row>
    <row r="1379" spans="2:2" x14ac:dyDescent="0.3">
      <c r="B1379" t="s">
        <v>115</v>
      </c>
    </row>
    <row r="1380" spans="2:2" x14ac:dyDescent="0.3">
      <c r="B1380" t="s">
        <v>116</v>
      </c>
    </row>
    <row r="1381" spans="2:2" x14ac:dyDescent="0.3">
      <c r="B1381" t="s">
        <v>1353</v>
      </c>
    </row>
    <row r="1382" spans="2:2" x14ac:dyDescent="0.3">
      <c r="B1382" t="s">
        <v>45</v>
      </c>
    </row>
    <row r="1383" spans="2:2" x14ac:dyDescent="0.3">
      <c r="B1383" t="s">
        <v>46</v>
      </c>
    </row>
    <row r="1384" spans="2:2" x14ac:dyDescent="0.3">
      <c r="B1384" t="s">
        <v>117</v>
      </c>
    </row>
    <row r="1385" spans="2:2" x14ac:dyDescent="0.3">
      <c r="B1385" t="s">
        <v>48</v>
      </c>
    </row>
    <row r="1386" spans="2:2" x14ac:dyDescent="0.3">
      <c r="B1386" t="s">
        <v>49</v>
      </c>
    </row>
    <row r="1387" spans="2:2" x14ac:dyDescent="0.3">
      <c r="B1387" t="s">
        <v>50</v>
      </c>
    </row>
    <row r="1388" spans="2:2" x14ac:dyDescent="0.3">
      <c r="B1388" t="s">
        <v>51</v>
      </c>
    </row>
    <row r="1389" spans="2:2" x14ac:dyDescent="0.3">
      <c r="B1389" t="s">
        <v>52</v>
      </c>
    </row>
    <row r="1390" spans="2:2" x14ac:dyDescent="0.3">
      <c r="B1390" t="s">
        <v>75</v>
      </c>
    </row>
    <row r="1391" spans="2:2" x14ac:dyDescent="0.3">
      <c r="B1391" t="s">
        <v>54</v>
      </c>
    </row>
    <row r="1392" spans="2:2" x14ac:dyDescent="0.3">
      <c r="B1392" t="s">
        <v>55</v>
      </c>
    </row>
    <row r="1393" spans="2:2" x14ac:dyDescent="0.3">
      <c r="B1393" t="s">
        <v>81</v>
      </c>
    </row>
    <row r="1394" spans="2:2" x14ac:dyDescent="0.3">
      <c r="B1394" t="s">
        <v>118</v>
      </c>
    </row>
    <row r="1395" spans="2:2" x14ac:dyDescent="0.3">
      <c r="B1395" t="s">
        <v>119</v>
      </c>
    </row>
    <row r="1396" spans="2:2" x14ac:dyDescent="0.3">
      <c r="B1396" t="s">
        <v>68</v>
      </c>
    </row>
    <row r="1397" spans="2:2" x14ac:dyDescent="0.3">
      <c r="B1397" t="s">
        <v>120</v>
      </c>
    </row>
    <row r="1398" spans="2:2" x14ac:dyDescent="0.3">
      <c r="B1398" t="s">
        <v>121</v>
      </c>
    </row>
    <row r="1399" spans="2:2" x14ac:dyDescent="0.3">
      <c r="B1399" t="s">
        <v>92</v>
      </c>
    </row>
    <row r="1400" spans="2:2" x14ac:dyDescent="0.3">
      <c r="B1400" t="s">
        <v>63</v>
      </c>
    </row>
    <row r="1401" spans="2:2" x14ac:dyDescent="0.3">
      <c r="B1401" t="s">
        <v>1263</v>
      </c>
    </row>
    <row r="1402" spans="2:2" x14ac:dyDescent="0.3">
      <c r="B1402" t="s">
        <v>42</v>
      </c>
    </row>
    <row r="1403" spans="2:2" x14ac:dyDescent="0.3">
      <c r="B1403" t="s">
        <v>122</v>
      </c>
    </row>
    <row r="1404" spans="2:2" x14ac:dyDescent="0.3">
      <c r="B1404" t="s">
        <v>44</v>
      </c>
    </row>
    <row r="1405" spans="2:2" x14ac:dyDescent="0.3">
      <c r="B1405" t="s">
        <v>1352</v>
      </c>
    </row>
    <row r="1406" spans="2:2" x14ac:dyDescent="0.3">
      <c r="B1406" t="s">
        <v>123</v>
      </c>
    </row>
    <row r="1407" spans="2:2" x14ac:dyDescent="0.3">
      <c r="B1407" t="s">
        <v>46</v>
      </c>
    </row>
    <row r="1408" spans="2:2" x14ac:dyDescent="0.3">
      <c r="B1408" t="s">
        <v>124</v>
      </c>
    </row>
    <row r="1409" spans="2:2" x14ac:dyDescent="0.3">
      <c r="B1409" t="s">
        <v>48</v>
      </c>
    </row>
    <row r="1410" spans="2:2" x14ac:dyDescent="0.3">
      <c r="B1410" t="s">
        <v>49</v>
      </c>
    </row>
    <row r="1411" spans="2:2" x14ac:dyDescent="0.3">
      <c r="B1411" t="s">
        <v>50</v>
      </c>
    </row>
    <row r="1412" spans="2:2" x14ac:dyDescent="0.3">
      <c r="B1412" t="s">
        <v>51</v>
      </c>
    </row>
    <row r="1413" spans="2:2" x14ac:dyDescent="0.3">
      <c r="B1413" t="s">
        <v>125</v>
      </c>
    </row>
    <row r="1414" spans="2:2" x14ac:dyDescent="0.3">
      <c r="B1414" t="s">
        <v>126</v>
      </c>
    </row>
    <row r="1415" spans="2:2" x14ac:dyDescent="0.3">
      <c r="B1415" t="s">
        <v>54</v>
      </c>
    </row>
    <row r="1416" spans="2:2" x14ac:dyDescent="0.3">
      <c r="B1416" t="s">
        <v>127</v>
      </c>
    </row>
    <row r="1417" spans="2:2" x14ac:dyDescent="0.3">
      <c r="B1417" t="s">
        <v>128</v>
      </c>
    </row>
    <row r="1418" spans="2:2" x14ac:dyDescent="0.3">
      <c r="B1418" t="s">
        <v>57</v>
      </c>
    </row>
    <row r="1419" spans="2:2" x14ac:dyDescent="0.3">
      <c r="B1419" t="s">
        <v>129</v>
      </c>
    </row>
    <row r="1420" spans="2:2" x14ac:dyDescent="0.3">
      <c r="B1420" t="s">
        <v>130</v>
      </c>
    </row>
    <row r="1421" spans="2:2" x14ac:dyDescent="0.3">
      <c r="B1421" t="s">
        <v>60</v>
      </c>
    </row>
    <row r="1422" spans="2:2" x14ac:dyDescent="0.3">
      <c r="B1422" t="s">
        <v>131</v>
      </c>
    </row>
    <row r="1423" spans="2:2" x14ac:dyDescent="0.3">
      <c r="B1423" t="s">
        <v>132</v>
      </c>
    </row>
    <row r="1424" spans="2:2" x14ac:dyDescent="0.3">
      <c r="B1424" t="s">
        <v>63</v>
      </c>
    </row>
    <row r="1425" spans="2:2" x14ac:dyDescent="0.3">
      <c r="B1425" t="s">
        <v>1263</v>
      </c>
    </row>
    <row r="1426" spans="2:2" x14ac:dyDescent="0.3">
      <c r="B1426" t="s">
        <v>42</v>
      </c>
    </row>
    <row r="1427" spans="2:2" x14ac:dyDescent="0.3">
      <c r="B1427" t="s">
        <v>133</v>
      </c>
    </row>
    <row r="1428" spans="2:2" x14ac:dyDescent="0.3">
      <c r="B1428" t="s">
        <v>44</v>
      </c>
    </row>
    <row r="1429" spans="2:2" x14ac:dyDescent="0.3">
      <c r="B1429" t="s">
        <v>1352</v>
      </c>
    </row>
    <row r="1430" spans="2:2" x14ac:dyDescent="0.3">
      <c r="B1430" t="s">
        <v>123</v>
      </c>
    </row>
    <row r="1431" spans="2:2" x14ac:dyDescent="0.3">
      <c r="B1431" t="s">
        <v>46</v>
      </c>
    </row>
    <row r="1432" spans="2:2" x14ac:dyDescent="0.3">
      <c r="B1432" t="s">
        <v>134</v>
      </c>
    </row>
    <row r="1433" spans="2:2" x14ac:dyDescent="0.3">
      <c r="B1433" t="s">
        <v>48</v>
      </c>
    </row>
    <row r="1434" spans="2:2" x14ac:dyDescent="0.3">
      <c r="B1434" t="s">
        <v>49</v>
      </c>
    </row>
    <row r="1435" spans="2:2" x14ac:dyDescent="0.3">
      <c r="B1435" t="s">
        <v>50</v>
      </c>
    </row>
    <row r="1436" spans="2:2" x14ac:dyDescent="0.3">
      <c r="B1436" t="s">
        <v>51</v>
      </c>
    </row>
    <row r="1437" spans="2:2" x14ac:dyDescent="0.3">
      <c r="B1437" t="s">
        <v>135</v>
      </c>
    </row>
    <row r="1438" spans="2:2" x14ac:dyDescent="0.3">
      <c r="B1438" t="s">
        <v>126</v>
      </c>
    </row>
    <row r="1439" spans="2:2" x14ac:dyDescent="0.3">
      <c r="B1439" t="s">
        <v>54</v>
      </c>
    </row>
    <row r="1440" spans="2:2" x14ac:dyDescent="0.3">
      <c r="B1440" t="s">
        <v>136</v>
      </c>
    </row>
    <row r="1441" spans="2:2" x14ac:dyDescent="0.3">
      <c r="B1441" t="s">
        <v>128</v>
      </c>
    </row>
    <row r="1442" spans="2:2" x14ac:dyDescent="0.3">
      <c r="B1442" t="s">
        <v>57</v>
      </c>
    </row>
    <row r="1443" spans="2:2" x14ac:dyDescent="0.3">
      <c r="B1443" t="s">
        <v>129</v>
      </c>
    </row>
    <row r="1444" spans="2:2" x14ac:dyDescent="0.3">
      <c r="B1444" t="s">
        <v>137</v>
      </c>
    </row>
    <row r="1445" spans="2:2" x14ac:dyDescent="0.3">
      <c r="B1445" t="s">
        <v>60</v>
      </c>
    </row>
    <row r="1446" spans="2:2" x14ac:dyDescent="0.3">
      <c r="B1446" t="s">
        <v>131</v>
      </c>
    </row>
    <row r="1447" spans="2:2" x14ac:dyDescent="0.3">
      <c r="B1447" t="s">
        <v>138</v>
      </c>
    </row>
    <row r="1448" spans="2:2" x14ac:dyDescent="0.3">
      <c r="B1448" t="s">
        <v>63</v>
      </c>
    </row>
    <row r="1449" spans="2:2" x14ac:dyDescent="0.3">
      <c r="B1449" t="s">
        <v>1263</v>
      </c>
    </row>
    <row r="1450" spans="2:2" x14ac:dyDescent="0.3">
      <c r="B1450" t="s">
        <v>42</v>
      </c>
    </row>
    <row r="1451" spans="2:2" x14ac:dyDescent="0.3">
      <c r="B1451" t="s">
        <v>139</v>
      </c>
    </row>
    <row r="1452" spans="2:2" x14ac:dyDescent="0.3">
      <c r="B1452" t="s">
        <v>44</v>
      </c>
    </row>
    <row r="1453" spans="2:2" x14ac:dyDescent="0.3">
      <c r="B1453" t="s">
        <v>1352</v>
      </c>
    </row>
    <row r="1454" spans="2:2" x14ac:dyDescent="0.3">
      <c r="B1454" t="s">
        <v>123</v>
      </c>
    </row>
    <row r="1455" spans="2:2" x14ac:dyDescent="0.3">
      <c r="B1455" t="s">
        <v>71</v>
      </c>
    </row>
    <row r="1456" spans="2:2" x14ac:dyDescent="0.3">
      <c r="B1456" t="s">
        <v>72</v>
      </c>
    </row>
    <row r="1457" spans="2:2" x14ac:dyDescent="0.3">
      <c r="B1457" t="s">
        <v>73</v>
      </c>
    </row>
    <row r="1458" spans="2:2" x14ac:dyDescent="0.3">
      <c r="B1458" t="s">
        <v>74</v>
      </c>
    </row>
    <row r="1459" spans="2:2" x14ac:dyDescent="0.3">
      <c r="B1459" t="s">
        <v>50</v>
      </c>
    </row>
    <row r="1460" spans="2:2" x14ac:dyDescent="0.3">
      <c r="B1460" t="s">
        <v>51</v>
      </c>
    </row>
    <row r="1461" spans="2:2" x14ac:dyDescent="0.3">
      <c r="B1461" t="s">
        <v>125</v>
      </c>
    </row>
    <row r="1462" spans="2:2" x14ac:dyDescent="0.3">
      <c r="B1462" t="s">
        <v>140</v>
      </c>
    </row>
    <row r="1463" spans="2:2" x14ac:dyDescent="0.3">
      <c r="B1463" t="s">
        <v>54</v>
      </c>
    </row>
    <row r="1464" spans="2:2" x14ac:dyDescent="0.3">
      <c r="B1464" t="s">
        <v>127</v>
      </c>
    </row>
    <row r="1465" spans="2:2" x14ac:dyDescent="0.3">
      <c r="B1465" t="s">
        <v>141</v>
      </c>
    </row>
    <row r="1466" spans="2:2" x14ac:dyDescent="0.3">
      <c r="B1466" t="s">
        <v>57</v>
      </c>
    </row>
    <row r="1467" spans="2:2" x14ac:dyDescent="0.3">
      <c r="B1467" t="s">
        <v>142</v>
      </c>
    </row>
    <row r="1468" spans="2:2" x14ac:dyDescent="0.3">
      <c r="B1468" t="s">
        <v>130</v>
      </c>
    </row>
    <row r="1469" spans="2:2" x14ac:dyDescent="0.3">
      <c r="B1469" t="s">
        <v>60</v>
      </c>
    </row>
    <row r="1470" spans="2:2" x14ac:dyDescent="0.3">
      <c r="B1470" t="s">
        <v>143</v>
      </c>
    </row>
    <row r="1471" spans="2:2" x14ac:dyDescent="0.3">
      <c r="B1471" t="s">
        <v>132</v>
      </c>
    </row>
    <row r="1472" spans="2:2" x14ac:dyDescent="0.3">
      <c r="B1472" t="s">
        <v>63</v>
      </c>
    </row>
    <row r="1473" spans="2:2" x14ac:dyDescent="0.3">
      <c r="B1473" t="s">
        <v>1263</v>
      </c>
    </row>
    <row r="1474" spans="2:2" x14ac:dyDescent="0.3">
      <c r="B1474" t="s">
        <v>42</v>
      </c>
    </row>
    <row r="1475" spans="2:2" x14ac:dyDescent="0.3">
      <c r="B1475" t="s">
        <v>144</v>
      </c>
    </row>
    <row r="1476" spans="2:2" x14ac:dyDescent="0.3">
      <c r="B1476" t="s">
        <v>44</v>
      </c>
    </row>
    <row r="1477" spans="2:2" x14ac:dyDescent="0.3">
      <c r="B1477" t="s">
        <v>1352</v>
      </c>
    </row>
    <row r="1478" spans="2:2" x14ac:dyDescent="0.3">
      <c r="B1478" t="s">
        <v>123</v>
      </c>
    </row>
    <row r="1479" spans="2:2" x14ac:dyDescent="0.3">
      <c r="B1479" t="s">
        <v>71</v>
      </c>
    </row>
    <row r="1480" spans="2:2" x14ac:dyDescent="0.3">
      <c r="B1480" t="s">
        <v>72</v>
      </c>
    </row>
    <row r="1481" spans="2:2" x14ac:dyDescent="0.3">
      <c r="B1481" t="s">
        <v>73</v>
      </c>
    </row>
    <row r="1482" spans="2:2" x14ac:dyDescent="0.3">
      <c r="B1482" t="s">
        <v>74</v>
      </c>
    </row>
    <row r="1483" spans="2:2" x14ac:dyDescent="0.3">
      <c r="B1483" t="s">
        <v>50</v>
      </c>
    </row>
    <row r="1484" spans="2:2" x14ac:dyDescent="0.3">
      <c r="B1484" t="s">
        <v>51</v>
      </c>
    </row>
    <row r="1485" spans="2:2" x14ac:dyDescent="0.3">
      <c r="B1485" t="s">
        <v>135</v>
      </c>
    </row>
    <row r="1486" spans="2:2" x14ac:dyDescent="0.3">
      <c r="B1486" t="s">
        <v>140</v>
      </c>
    </row>
    <row r="1487" spans="2:2" x14ac:dyDescent="0.3">
      <c r="B1487" t="s">
        <v>54</v>
      </c>
    </row>
    <row r="1488" spans="2:2" x14ac:dyDescent="0.3">
      <c r="B1488" t="s">
        <v>136</v>
      </c>
    </row>
    <row r="1489" spans="2:2" x14ac:dyDescent="0.3">
      <c r="B1489" t="s">
        <v>141</v>
      </c>
    </row>
    <row r="1490" spans="2:2" x14ac:dyDescent="0.3">
      <c r="B1490" t="s">
        <v>57</v>
      </c>
    </row>
    <row r="1491" spans="2:2" x14ac:dyDescent="0.3">
      <c r="B1491" t="s">
        <v>142</v>
      </c>
    </row>
    <row r="1492" spans="2:2" x14ac:dyDescent="0.3">
      <c r="B1492" t="s">
        <v>137</v>
      </c>
    </row>
    <row r="1493" spans="2:2" x14ac:dyDescent="0.3">
      <c r="B1493" t="s">
        <v>60</v>
      </c>
    </row>
    <row r="1494" spans="2:2" x14ac:dyDescent="0.3">
      <c r="B1494" t="s">
        <v>143</v>
      </c>
    </row>
    <row r="1495" spans="2:2" x14ac:dyDescent="0.3">
      <c r="B1495" t="s">
        <v>138</v>
      </c>
    </row>
    <row r="1496" spans="2:2" x14ac:dyDescent="0.3">
      <c r="B1496" t="s">
        <v>63</v>
      </c>
    </row>
    <row r="1497" spans="2:2" x14ac:dyDescent="0.3">
      <c r="B1497" t="s">
        <v>1263</v>
      </c>
    </row>
    <row r="1498" spans="2:2" x14ac:dyDescent="0.3">
      <c r="B1498" t="s">
        <v>42</v>
      </c>
    </row>
    <row r="1499" spans="2:2" x14ac:dyDescent="0.3">
      <c r="B1499" t="s">
        <v>145</v>
      </c>
    </row>
    <row r="1500" spans="2:2" x14ac:dyDescent="0.3">
      <c r="B1500" t="s">
        <v>104</v>
      </c>
    </row>
    <row r="1501" spans="2:2" x14ac:dyDescent="0.3">
      <c r="B1501" t="s">
        <v>105</v>
      </c>
    </row>
    <row r="1502" spans="2:2" x14ac:dyDescent="0.3">
      <c r="B1502" t="s">
        <v>123</v>
      </c>
    </row>
    <row r="1503" spans="2:2" x14ac:dyDescent="0.3">
      <c r="B1503" t="s">
        <v>106</v>
      </c>
    </row>
    <row r="1504" spans="2:2" x14ac:dyDescent="0.3">
      <c r="B1504" t="s">
        <v>72</v>
      </c>
    </row>
    <row r="1505" spans="2:2" x14ac:dyDescent="0.3">
      <c r="B1505" t="s">
        <v>48</v>
      </c>
    </row>
    <row r="1506" spans="2:2" x14ac:dyDescent="0.3">
      <c r="B1506" t="s">
        <v>49</v>
      </c>
    </row>
    <row r="1507" spans="2:2" x14ac:dyDescent="0.3">
      <c r="B1507" t="s">
        <v>50</v>
      </c>
    </row>
    <row r="1508" spans="2:2" x14ac:dyDescent="0.3">
      <c r="B1508" t="s">
        <v>51</v>
      </c>
    </row>
    <row r="1509" spans="2:2" x14ac:dyDescent="0.3">
      <c r="B1509" t="s">
        <v>125</v>
      </c>
    </row>
    <row r="1510" spans="2:2" x14ac:dyDescent="0.3">
      <c r="B1510" t="s">
        <v>126</v>
      </c>
    </row>
    <row r="1511" spans="2:2" x14ac:dyDescent="0.3">
      <c r="B1511" t="s">
        <v>107</v>
      </c>
    </row>
    <row r="1512" spans="2:2" x14ac:dyDescent="0.3">
      <c r="B1512" t="s">
        <v>127</v>
      </c>
    </row>
    <row r="1513" spans="2:2" x14ac:dyDescent="0.3">
      <c r="B1513" t="s">
        <v>141</v>
      </c>
    </row>
    <row r="1514" spans="2:2" x14ac:dyDescent="0.3">
      <c r="B1514" t="s">
        <v>57</v>
      </c>
    </row>
    <row r="1515" spans="2:2" x14ac:dyDescent="0.3">
      <c r="B1515" t="s">
        <v>129</v>
      </c>
    </row>
    <row r="1516" spans="2:2" x14ac:dyDescent="0.3">
      <c r="B1516" t="s">
        <v>137</v>
      </c>
    </row>
    <row r="1517" spans="2:2" x14ac:dyDescent="0.3">
      <c r="B1517" t="s">
        <v>60</v>
      </c>
    </row>
    <row r="1518" spans="2:2" x14ac:dyDescent="0.3">
      <c r="B1518" t="s">
        <v>131</v>
      </c>
    </row>
    <row r="1519" spans="2:2" x14ac:dyDescent="0.3">
      <c r="B1519" t="s">
        <v>132</v>
      </c>
    </row>
    <row r="1520" spans="2:2" x14ac:dyDescent="0.3">
      <c r="B1520" t="s">
        <v>146</v>
      </c>
    </row>
    <row r="1521" spans="2:2" x14ac:dyDescent="0.3">
      <c r="B1521" t="s">
        <v>1263</v>
      </c>
    </row>
    <row r="1522" spans="2:2" x14ac:dyDescent="0.3">
      <c r="B1522" t="s">
        <v>42</v>
      </c>
    </row>
    <row r="1523" spans="2:2" x14ac:dyDescent="0.3">
      <c r="B1523" t="s">
        <v>147</v>
      </c>
    </row>
    <row r="1524" spans="2:2" x14ac:dyDescent="0.3">
      <c r="B1524" t="s">
        <v>116</v>
      </c>
    </row>
    <row r="1525" spans="2:2" x14ac:dyDescent="0.3">
      <c r="B1525" t="s">
        <v>1353</v>
      </c>
    </row>
    <row r="1526" spans="2:2" x14ac:dyDescent="0.3">
      <c r="B1526" t="s">
        <v>123</v>
      </c>
    </row>
    <row r="1527" spans="2:2" x14ac:dyDescent="0.3">
      <c r="B1527" t="s">
        <v>46</v>
      </c>
    </row>
    <row r="1528" spans="2:2" x14ac:dyDescent="0.3">
      <c r="B1528" t="s">
        <v>148</v>
      </c>
    </row>
    <row r="1529" spans="2:2" x14ac:dyDescent="0.3">
      <c r="B1529" t="s">
        <v>48</v>
      </c>
    </row>
    <row r="1530" spans="2:2" x14ac:dyDescent="0.3">
      <c r="B1530" t="s">
        <v>49</v>
      </c>
    </row>
    <row r="1531" spans="2:2" x14ac:dyDescent="0.3">
      <c r="B1531" t="s">
        <v>50</v>
      </c>
    </row>
    <row r="1532" spans="2:2" x14ac:dyDescent="0.3">
      <c r="B1532" t="s">
        <v>51</v>
      </c>
    </row>
    <row r="1533" spans="2:2" x14ac:dyDescent="0.3">
      <c r="B1533" t="s">
        <v>125</v>
      </c>
    </row>
    <row r="1534" spans="2:2" x14ac:dyDescent="0.3">
      <c r="B1534" t="s">
        <v>140</v>
      </c>
    </row>
    <row r="1535" spans="2:2" x14ac:dyDescent="0.3">
      <c r="B1535" t="s">
        <v>54</v>
      </c>
    </row>
    <row r="1536" spans="2:2" x14ac:dyDescent="0.3">
      <c r="B1536" t="s">
        <v>127</v>
      </c>
    </row>
    <row r="1537" spans="2:2" x14ac:dyDescent="0.3">
      <c r="B1537" t="s">
        <v>128</v>
      </c>
    </row>
    <row r="1538" spans="2:2" x14ac:dyDescent="0.3">
      <c r="B1538" t="s">
        <v>118</v>
      </c>
    </row>
    <row r="1539" spans="2:2" x14ac:dyDescent="0.3">
      <c r="B1539" t="s">
        <v>129</v>
      </c>
    </row>
    <row r="1540" spans="2:2" x14ac:dyDescent="0.3">
      <c r="B1540" t="s">
        <v>130</v>
      </c>
    </row>
    <row r="1541" spans="2:2" x14ac:dyDescent="0.3">
      <c r="B1541" t="s">
        <v>120</v>
      </c>
    </row>
    <row r="1542" spans="2:2" x14ac:dyDescent="0.3">
      <c r="B1542" t="s">
        <v>131</v>
      </c>
    </row>
    <row r="1543" spans="2:2" x14ac:dyDescent="0.3">
      <c r="B1543" t="s">
        <v>138</v>
      </c>
    </row>
    <row r="1544" spans="2:2" x14ac:dyDescent="0.3">
      <c r="B1544" t="s">
        <v>63</v>
      </c>
    </row>
    <row r="1545" spans="2:2" x14ac:dyDescent="0.3">
      <c r="B1545" t="s">
        <v>1263</v>
      </c>
    </row>
    <row r="1546" spans="2:2" x14ac:dyDescent="0.3">
      <c r="B1546" t="s">
        <v>42</v>
      </c>
    </row>
    <row r="1547" spans="2:2" x14ac:dyDescent="0.3">
      <c r="B1547" t="s">
        <v>149</v>
      </c>
    </row>
    <row r="1548" spans="2:2" x14ac:dyDescent="0.3">
      <c r="B1548" t="s">
        <v>44</v>
      </c>
    </row>
    <row r="1549" spans="2:2" x14ac:dyDescent="0.3">
      <c r="B1549" t="s">
        <v>1354</v>
      </c>
    </row>
    <row r="1550" spans="2:2" x14ac:dyDescent="0.3">
      <c r="B1550" t="s">
        <v>150</v>
      </c>
    </row>
    <row r="1551" spans="2:2" x14ac:dyDescent="0.3">
      <c r="B1551" t="s">
        <v>46</v>
      </c>
    </row>
    <row r="1552" spans="2:2" x14ac:dyDescent="0.3">
      <c r="B1552" t="s">
        <v>151</v>
      </c>
    </row>
    <row r="1553" spans="2:2" x14ac:dyDescent="0.3">
      <c r="B1553" t="s">
        <v>48</v>
      </c>
    </row>
    <row r="1554" spans="2:2" x14ac:dyDescent="0.3">
      <c r="B1554" t="s">
        <v>49</v>
      </c>
    </row>
    <row r="1555" spans="2:2" x14ac:dyDescent="0.3">
      <c r="B1555" t="s">
        <v>50</v>
      </c>
    </row>
    <row r="1556" spans="2:2" x14ac:dyDescent="0.3">
      <c r="B1556" t="s">
        <v>51</v>
      </c>
    </row>
    <row r="1557" spans="2:2" x14ac:dyDescent="0.3">
      <c r="B1557" t="s">
        <v>85</v>
      </c>
    </row>
    <row r="1558" spans="2:2" x14ac:dyDescent="0.3">
      <c r="B1558" t="s">
        <v>75</v>
      </c>
    </row>
    <row r="1559" spans="2:2" x14ac:dyDescent="0.3">
      <c r="B1559" t="s">
        <v>54</v>
      </c>
    </row>
    <row r="1560" spans="2:2" x14ac:dyDescent="0.3">
      <c r="B1560" t="s">
        <v>87</v>
      </c>
    </row>
    <row r="1561" spans="2:2" x14ac:dyDescent="0.3">
      <c r="B1561" t="s">
        <v>76</v>
      </c>
    </row>
    <row r="1562" spans="2:2" x14ac:dyDescent="0.3">
      <c r="B1562" t="s">
        <v>57</v>
      </c>
    </row>
    <row r="1563" spans="2:2" x14ac:dyDescent="0.3">
      <c r="B1563" t="s">
        <v>142</v>
      </c>
    </row>
    <row r="1564" spans="2:2" x14ac:dyDescent="0.3">
      <c r="B1564" t="s">
        <v>90</v>
      </c>
    </row>
    <row r="1565" spans="2:2" x14ac:dyDescent="0.3">
      <c r="B1565" t="s">
        <v>60</v>
      </c>
    </row>
    <row r="1566" spans="2:2" x14ac:dyDescent="0.3">
      <c r="B1566" t="s">
        <v>143</v>
      </c>
    </row>
    <row r="1567" spans="2:2" x14ac:dyDescent="0.3">
      <c r="B1567" t="s">
        <v>92</v>
      </c>
    </row>
    <row r="1568" spans="2:2" x14ac:dyDescent="0.3">
      <c r="B1568" t="s">
        <v>63</v>
      </c>
    </row>
    <row r="1569" spans="2:2" x14ac:dyDescent="0.3">
      <c r="B1569" t="s">
        <v>1263</v>
      </c>
    </row>
    <row r="1570" spans="2:2" x14ac:dyDescent="0.3">
      <c r="B1570" t="s">
        <v>42</v>
      </c>
    </row>
    <row r="1571" spans="2:2" x14ac:dyDescent="0.3">
      <c r="B1571" t="s">
        <v>152</v>
      </c>
    </row>
    <row r="1572" spans="2:2" x14ac:dyDescent="0.3">
      <c r="B1572" t="s">
        <v>44</v>
      </c>
    </row>
    <row r="1573" spans="2:2" x14ac:dyDescent="0.3">
      <c r="B1573" t="s">
        <v>1354</v>
      </c>
    </row>
    <row r="1574" spans="2:2" x14ac:dyDescent="0.3">
      <c r="B1574" t="s">
        <v>150</v>
      </c>
    </row>
    <row r="1575" spans="2:2" x14ac:dyDescent="0.3">
      <c r="B1575" t="s">
        <v>46</v>
      </c>
    </row>
    <row r="1576" spans="2:2" x14ac:dyDescent="0.3">
      <c r="B1576" t="s">
        <v>153</v>
      </c>
    </row>
    <row r="1577" spans="2:2" x14ac:dyDescent="0.3">
      <c r="B1577" t="s">
        <v>48</v>
      </c>
    </row>
    <row r="1578" spans="2:2" x14ac:dyDescent="0.3">
      <c r="B1578" t="s">
        <v>49</v>
      </c>
    </row>
    <row r="1579" spans="2:2" x14ac:dyDescent="0.3">
      <c r="B1579" t="s">
        <v>50</v>
      </c>
    </row>
    <row r="1580" spans="2:2" x14ac:dyDescent="0.3">
      <c r="B1580" t="s">
        <v>51</v>
      </c>
    </row>
    <row r="1581" spans="2:2" x14ac:dyDescent="0.3">
      <c r="B1581" t="s">
        <v>154</v>
      </c>
    </row>
    <row r="1582" spans="2:2" x14ac:dyDescent="0.3">
      <c r="B1582" t="s">
        <v>155</v>
      </c>
    </row>
    <row r="1583" spans="2:2" x14ac:dyDescent="0.3">
      <c r="B1583" t="s">
        <v>54</v>
      </c>
    </row>
    <row r="1584" spans="2:2" x14ac:dyDescent="0.3">
      <c r="B1584" t="s">
        <v>156</v>
      </c>
    </row>
    <row r="1585" spans="2:2" x14ac:dyDescent="0.3">
      <c r="B1585" t="s">
        <v>157</v>
      </c>
    </row>
    <row r="1586" spans="2:2" x14ac:dyDescent="0.3">
      <c r="B1586" t="s">
        <v>158</v>
      </c>
    </row>
    <row r="1587" spans="2:2" x14ac:dyDescent="0.3">
      <c r="B1587" t="s">
        <v>89</v>
      </c>
    </row>
    <row r="1588" spans="2:2" x14ac:dyDescent="0.3">
      <c r="B1588" t="s">
        <v>90</v>
      </c>
    </row>
    <row r="1589" spans="2:2" x14ac:dyDescent="0.3">
      <c r="B1589" t="s">
        <v>60</v>
      </c>
    </row>
    <row r="1590" spans="2:2" x14ac:dyDescent="0.3">
      <c r="B1590" t="s">
        <v>91</v>
      </c>
    </row>
    <row r="1591" spans="2:2" x14ac:dyDescent="0.3">
      <c r="B1591" t="s">
        <v>92</v>
      </c>
    </row>
    <row r="1592" spans="2:2" x14ac:dyDescent="0.3">
      <c r="B1592" t="s">
        <v>63</v>
      </c>
    </row>
    <row r="1593" spans="2:2" x14ac:dyDescent="0.3">
      <c r="B1593" t="s">
        <v>1263</v>
      </c>
    </row>
    <row r="1594" spans="2:2" x14ac:dyDescent="0.3">
      <c r="B1594" t="s">
        <v>42</v>
      </c>
    </row>
    <row r="1595" spans="2:2" x14ac:dyDescent="0.3">
      <c r="B1595" t="s">
        <v>159</v>
      </c>
    </row>
    <row r="1596" spans="2:2" x14ac:dyDescent="0.3">
      <c r="B1596" t="s">
        <v>44</v>
      </c>
    </row>
    <row r="1597" spans="2:2" x14ac:dyDescent="0.3">
      <c r="B1597" t="s">
        <v>1354</v>
      </c>
    </row>
    <row r="1598" spans="2:2" x14ac:dyDescent="0.3">
      <c r="B1598" t="s">
        <v>150</v>
      </c>
    </row>
    <row r="1599" spans="2:2" x14ac:dyDescent="0.3">
      <c r="B1599" t="s">
        <v>71</v>
      </c>
    </row>
    <row r="1600" spans="2:2" x14ac:dyDescent="0.3">
      <c r="B1600" t="s">
        <v>72</v>
      </c>
    </row>
    <row r="1601" spans="2:2" x14ac:dyDescent="0.3">
      <c r="B1601" t="s">
        <v>73</v>
      </c>
    </row>
    <row r="1602" spans="2:2" x14ac:dyDescent="0.3">
      <c r="B1602" t="s">
        <v>74</v>
      </c>
    </row>
    <row r="1603" spans="2:2" x14ac:dyDescent="0.3">
      <c r="B1603" t="s">
        <v>50</v>
      </c>
    </row>
    <row r="1604" spans="2:2" x14ac:dyDescent="0.3">
      <c r="B1604" t="s">
        <v>51</v>
      </c>
    </row>
    <row r="1605" spans="2:2" x14ac:dyDescent="0.3">
      <c r="B1605" t="s">
        <v>125</v>
      </c>
    </row>
    <row r="1606" spans="2:2" x14ac:dyDescent="0.3">
      <c r="B1606" t="s">
        <v>75</v>
      </c>
    </row>
    <row r="1607" spans="2:2" x14ac:dyDescent="0.3">
      <c r="B1607" t="s">
        <v>54</v>
      </c>
    </row>
    <row r="1608" spans="2:2" x14ac:dyDescent="0.3">
      <c r="B1608" t="s">
        <v>127</v>
      </c>
    </row>
    <row r="1609" spans="2:2" x14ac:dyDescent="0.3">
      <c r="B1609" t="s">
        <v>76</v>
      </c>
    </row>
    <row r="1610" spans="2:2" x14ac:dyDescent="0.3">
      <c r="B1610" t="s">
        <v>57</v>
      </c>
    </row>
    <row r="1611" spans="2:2" x14ac:dyDescent="0.3">
      <c r="B1611" t="s">
        <v>142</v>
      </c>
    </row>
    <row r="1612" spans="2:2" x14ac:dyDescent="0.3">
      <c r="B1612" t="s">
        <v>160</v>
      </c>
    </row>
    <row r="1613" spans="2:2" x14ac:dyDescent="0.3">
      <c r="B1613" t="s">
        <v>60</v>
      </c>
    </row>
    <row r="1614" spans="2:2" x14ac:dyDescent="0.3">
      <c r="B1614" t="s">
        <v>143</v>
      </c>
    </row>
    <row r="1615" spans="2:2" x14ac:dyDescent="0.3">
      <c r="B1615" t="s">
        <v>161</v>
      </c>
    </row>
    <row r="1616" spans="2:2" x14ac:dyDescent="0.3">
      <c r="B1616" t="s">
        <v>63</v>
      </c>
    </row>
    <row r="1617" spans="2:2" x14ac:dyDescent="0.3">
      <c r="B1617" t="s">
        <v>1263</v>
      </c>
    </row>
    <row r="1618" spans="2:2" x14ac:dyDescent="0.3">
      <c r="B1618" t="s">
        <v>42</v>
      </c>
    </row>
    <row r="1619" spans="2:2" x14ac:dyDescent="0.3">
      <c r="B1619" t="s">
        <v>162</v>
      </c>
    </row>
    <row r="1620" spans="2:2" x14ac:dyDescent="0.3">
      <c r="B1620" t="s">
        <v>44</v>
      </c>
    </row>
    <row r="1621" spans="2:2" x14ac:dyDescent="0.3">
      <c r="B1621" t="s">
        <v>1354</v>
      </c>
    </row>
    <row r="1622" spans="2:2" x14ac:dyDescent="0.3">
      <c r="B1622" t="s">
        <v>150</v>
      </c>
    </row>
    <row r="1623" spans="2:2" x14ac:dyDescent="0.3">
      <c r="B1623" t="s">
        <v>71</v>
      </c>
    </row>
    <row r="1624" spans="2:2" x14ac:dyDescent="0.3">
      <c r="B1624" t="s">
        <v>72</v>
      </c>
    </row>
    <row r="1625" spans="2:2" x14ac:dyDescent="0.3">
      <c r="B1625" t="s">
        <v>73</v>
      </c>
    </row>
    <row r="1626" spans="2:2" x14ac:dyDescent="0.3">
      <c r="B1626" t="s">
        <v>74</v>
      </c>
    </row>
    <row r="1627" spans="2:2" x14ac:dyDescent="0.3">
      <c r="B1627" t="s">
        <v>50</v>
      </c>
    </row>
    <row r="1628" spans="2:2" x14ac:dyDescent="0.3">
      <c r="B1628" t="s">
        <v>51</v>
      </c>
    </row>
    <row r="1629" spans="2:2" x14ac:dyDescent="0.3">
      <c r="B1629" t="s">
        <v>125</v>
      </c>
    </row>
    <row r="1630" spans="2:2" x14ac:dyDescent="0.3">
      <c r="B1630" t="s">
        <v>163</v>
      </c>
    </row>
    <row r="1631" spans="2:2" x14ac:dyDescent="0.3">
      <c r="B1631" t="s">
        <v>54</v>
      </c>
    </row>
    <row r="1632" spans="2:2" x14ac:dyDescent="0.3">
      <c r="B1632" t="s">
        <v>127</v>
      </c>
    </row>
    <row r="1633" spans="2:2" x14ac:dyDescent="0.3">
      <c r="B1633" t="s">
        <v>164</v>
      </c>
    </row>
    <row r="1634" spans="2:2" x14ac:dyDescent="0.3">
      <c r="B1634" t="s">
        <v>57</v>
      </c>
    </row>
    <row r="1635" spans="2:2" x14ac:dyDescent="0.3">
      <c r="B1635" t="s">
        <v>165</v>
      </c>
    </row>
    <row r="1636" spans="2:2" x14ac:dyDescent="0.3">
      <c r="B1636" t="s">
        <v>160</v>
      </c>
    </row>
    <row r="1637" spans="2:2" x14ac:dyDescent="0.3">
      <c r="B1637" t="s">
        <v>166</v>
      </c>
    </row>
    <row r="1638" spans="2:2" x14ac:dyDescent="0.3">
      <c r="B1638" t="s">
        <v>167</v>
      </c>
    </row>
    <row r="1639" spans="2:2" x14ac:dyDescent="0.3">
      <c r="B1639" t="s">
        <v>161</v>
      </c>
    </row>
    <row r="1640" spans="2:2" x14ac:dyDescent="0.3">
      <c r="B1640" t="s">
        <v>63</v>
      </c>
    </row>
    <row r="1641" spans="2:2" x14ac:dyDescent="0.3">
      <c r="B1641" t="s">
        <v>1263</v>
      </c>
    </row>
    <row r="1642" spans="2:2" x14ac:dyDescent="0.3">
      <c r="B1642" t="s">
        <v>42</v>
      </c>
    </row>
    <row r="1643" spans="2:2" x14ac:dyDescent="0.3">
      <c r="B1643" t="s">
        <v>168</v>
      </c>
    </row>
    <row r="1644" spans="2:2" x14ac:dyDescent="0.3">
      <c r="B1644" t="s">
        <v>44</v>
      </c>
    </row>
    <row r="1645" spans="2:2" x14ac:dyDescent="0.3">
      <c r="B1645" t="s">
        <v>1354</v>
      </c>
    </row>
    <row r="1646" spans="2:2" x14ac:dyDescent="0.3">
      <c r="B1646" t="s">
        <v>150</v>
      </c>
    </row>
    <row r="1647" spans="2:2" x14ac:dyDescent="0.3">
      <c r="B1647" t="s">
        <v>71</v>
      </c>
    </row>
    <row r="1648" spans="2:2" x14ac:dyDescent="0.3">
      <c r="B1648" t="s">
        <v>72</v>
      </c>
    </row>
    <row r="1649" spans="2:2" x14ac:dyDescent="0.3">
      <c r="B1649" t="s">
        <v>73</v>
      </c>
    </row>
    <row r="1650" spans="2:2" x14ac:dyDescent="0.3">
      <c r="B1650" t="s">
        <v>74</v>
      </c>
    </row>
    <row r="1651" spans="2:2" x14ac:dyDescent="0.3">
      <c r="B1651" t="s">
        <v>50</v>
      </c>
    </row>
    <row r="1652" spans="2:2" x14ac:dyDescent="0.3">
      <c r="B1652" t="s">
        <v>51</v>
      </c>
    </row>
    <row r="1653" spans="2:2" x14ac:dyDescent="0.3">
      <c r="B1653" t="s">
        <v>169</v>
      </c>
    </row>
    <row r="1654" spans="2:2" x14ac:dyDescent="0.3">
      <c r="B1654" t="s">
        <v>163</v>
      </c>
    </row>
    <row r="1655" spans="2:2" x14ac:dyDescent="0.3">
      <c r="B1655" t="s">
        <v>54</v>
      </c>
    </row>
    <row r="1656" spans="2:2" x14ac:dyDescent="0.3">
      <c r="B1656" t="s">
        <v>170</v>
      </c>
    </row>
    <row r="1657" spans="2:2" x14ac:dyDescent="0.3">
      <c r="B1657" t="s">
        <v>164</v>
      </c>
    </row>
    <row r="1658" spans="2:2" x14ac:dyDescent="0.3">
      <c r="B1658" t="s">
        <v>171</v>
      </c>
    </row>
    <row r="1659" spans="2:2" x14ac:dyDescent="0.3">
      <c r="B1659" t="s">
        <v>172</v>
      </c>
    </row>
    <row r="1660" spans="2:2" x14ac:dyDescent="0.3">
      <c r="B1660" t="s">
        <v>173</v>
      </c>
    </row>
    <row r="1661" spans="2:2" x14ac:dyDescent="0.3">
      <c r="B1661" t="s">
        <v>174</v>
      </c>
    </row>
    <row r="1662" spans="2:2" x14ac:dyDescent="0.3">
      <c r="B1662" t="s">
        <v>175</v>
      </c>
    </row>
    <row r="1663" spans="2:2" x14ac:dyDescent="0.3">
      <c r="B1663" t="s">
        <v>176</v>
      </c>
    </row>
    <row r="1664" spans="2:2" x14ac:dyDescent="0.3">
      <c r="B1664" t="s">
        <v>63</v>
      </c>
    </row>
    <row r="1665" spans="2:2" x14ac:dyDescent="0.3">
      <c r="B1665" t="s">
        <v>1263</v>
      </c>
    </row>
    <row r="1666" spans="2:2" x14ac:dyDescent="0.3">
      <c r="B1666" t="s">
        <v>42</v>
      </c>
    </row>
    <row r="1667" spans="2:2" x14ac:dyDescent="0.3">
      <c r="B1667" t="s">
        <v>177</v>
      </c>
    </row>
    <row r="1668" spans="2:2" x14ac:dyDescent="0.3">
      <c r="B1668" t="s">
        <v>104</v>
      </c>
    </row>
    <row r="1669" spans="2:2" x14ac:dyDescent="0.3">
      <c r="B1669" t="s">
        <v>105</v>
      </c>
    </row>
    <row r="1670" spans="2:2" x14ac:dyDescent="0.3">
      <c r="B1670" t="s">
        <v>150</v>
      </c>
    </row>
    <row r="1671" spans="2:2" x14ac:dyDescent="0.3">
      <c r="B1671" t="s">
        <v>106</v>
      </c>
    </row>
    <row r="1672" spans="2:2" x14ac:dyDescent="0.3">
      <c r="B1672" t="s">
        <v>72</v>
      </c>
    </row>
    <row r="1673" spans="2:2" x14ac:dyDescent="0.3">
      <c r="B1673" t="s">
        <v>48</v>
      </c>
    </row>
    <row r="1674" spans="2:2" x14ac:dyDescent="0.3">
      <c r="B1674" t="s">
        <v>49</v>
      </c>
    </row>
    <row r="1675" spans="2:2" x14ac:dyDescent="0.3">
      <c r="B1675" t="s">
        <v>50</v>
      </c>
    </row>
    <row r="1676" spans="2:2" x14ac:dyDescent="0.3">
      <c r="B1676" t="s">
        <v>51</v>
      </c>
    </row>
    <row r="1677" spans="2:2" x14ac:dyDescent="0.3">
      <c r="B1677" t="s">
        <v>125</v>
      </c>
    </row>
    <row r="1678" spans="2:2" x14ac:dyDescent="0.3">
      <c r="B1678" t="s">
        <v>163</v>
      </c>
    </row>
    <row r="1679" spans="2:2" x14ac:dyDescent="0.3">
      <c r="B1679" t="s">
        <v>107</v>
      </c>
    </row>
    <row r="1680" spans="2:2" x14ac:dyDescent="0.3">
      <c r="B1680" t="s">
        <v>127</v>
      </c>
    </row>
    <row r="1681" spans="2:2" x14ac:dyDescent="0.3">
      <c r="B1681" t="s">
        <v>76</v>
      </c>
    </row>
    <row r="1682" spans="2:2" x14ac:dyDescent="0.3">
      <c r="B1682" t="s">
        <v>57</v>
      </c>
    </row>
    <row r="1683" spans="2:2" x14ac:dyDescent="0.3">
      <c r="B1683" t="s">
        <v>89</v>
      </c>
    </row>
    <row r="1684" spans="2:2" x14ac:dyDescent="0.3">
      <c r="B1684" t="s">
        <v>90</v>
      </c>
    </row>
    <row r="1685" spans="2:2" x14ac:dyDescent="0.3">
      <c r="B1685" t="s">
        <v>60</v>
      </c>
    </row>
    <row r="1686" spans="2:2" x14ac:dyDescent="0.3">
      <c r="B1686" t="s">
        <v>178</v>
      </c>
    </row>
    <row r="1687" spans="2:2" x14ac:dyDescent="0.3">
      <c r="B1687" t="s">
        <v>161</v>
      </c>
    </row>
    <row r="1688" spans="2:2" x14ac:dyDescent="0.3">
      <c r="B1688" t="s">
        <v>179</v>
      </c>
    </row>
    <row r="1689" spans="2:2" x14ac:dyDescent="0.3">
      <c r="B1689" t="s">
        <v>1263</v>
      </c>
    </row>
    <row r="1690" spans="2:2" x14ac:dyDescent="0.3">
      <c r="B1690" t="s">
        <v>42</v>
      </c>
    </row>
    <row r="1691" spans="2:2" x14ac:dyDescent="0.3">
      <c r="B1691" t="s">
        <v>180</v>
      </c>
    </row>
    <row r="1692" spans="2:2" x14ac:dyDescent="0.3">
      <c r="B1692" t="s">
        <v>116</v>
      </c>
    </row>
    <row r="1693" spans="2:2" x14ac:dyDescent="0.3">
      <c r="B1693" t="s">
        <v>1353</v>
      </c>
    </row>
    <row r="1694" spans="2:2" x14ac:dyDescent="0.3">
      <c r="B1694" t="s">
        <v>150</v>
      </c>
    </row>
    <row r="1695" spans="2:2" x14ac:dyDescent="0.3">
      <c r="B1695" t="s">
        <v>46</v>
      </c>
    </row>
    <row r="1696" spans="2:2" x14ac:dyDescent="0.3">
      <c r="B1696" t="s">
        <v>181</v>
      </c>
    </row>
    <row r="1697" spans="2:2" x14ac:dyDescent="0.3">
      <c r="B1697" t="s">
        <v>48</v>
      </c>
    </row>
    <row r="1698" spans="2:2" x14ac:dyDescent="0.3">
      <c r="B1698" t="s">
        <v>49</v>
      </c>
    </row>
    <row r="1699" spans="2:2" x14ac:dyDescent="0.3">
      <c r="B1699" t="s">
        <v>50</v>
      </c>
    </row>
    <row r="1700" spans="2:2" x14ac:dyDescent="0.3">
      <c r="B1700" t="s">
        <v>51</v>
      </c>
    </row>
    <row r="1701" spans="2:2" x14ac:dyDescent="0.3">
      <c r="B1701" t="s">
        <v>125</v>
      </c>
    </row>
    <row r="1702" spans="2:2" x14ac:dyDescent="0.3">
      <c r="B1702" t="s">
        <v>75</v>
      </c>
    </row>
    <row r="1703" spans="2:2" x14ac:dyDescent="0.3">
      <c r="B1703" t="s">
        <v>54</v>
      </c>
    </row>
    <row r="1704" spans="2:2" x14ac:dyDescent="0.3">
      <c r="B1704" t="s">
        <v>127</v>
      </c>
    </row>
    <row r="1705" spans="2:2" x14ac:dyDescent="0.3">
      <c r="B1705" t="s">
        <v>164</v>
      </c>
    </row>
    <row r="1706" spans="2:2" x14ac:dyDescent="0.3">
      <c r="B1706" t="s">
        <v>118</v>
      </c>
    </row>
    <row r="1707" spans="2:2" x14ac:dyDescent="0.3">
      <c r="B1707" t="s">
        <v>182</v>
      </c>
    </row>
    <row r="1708" spans="2:2" x14ac:dyDescent="0.3">
      <c r="B1708" t="s">
        <v>160</v>
      </c>
    </row>
    <row r="1709" spans="2:2" x14ac:dyDescent="0.3">
      <c r="B1709" t="s">
        <v>120</v>
      </c>
    </row>
    <row r="1710" spans="2:2" x14ac:dyDescent="0.3">
      <c r="B1710" t="s">
        <v>91</v>
      </c>
    </row>
    <row r="1711" spans="2:2" x14ac:dyDescent="0.3">
      <c r="B1711" t="s">
        <v>92</v>
      </c>
    </row>
    <row r="1712" spans="2:2" x14ac:dyDescent="0.3">
      <c r="B1712" t="s">
        <v>63</v>
      </c>
    </row>
    <row r="1713" spans="2:2" x14ac:dyDescent="0.3">
      <c r="B1713" t="s">
        <v>1263</v>
      </c>
    </row>
    <row r="1714" spans="2:2" x14ac:dyDescent="0.3">
      <c r="B1714" t="s">
        <v>42</v>
      </c>
    </row>
    <row r="1715" spans="2:2" x14ac:dyDescent="0.3">
      <c r="B1715" t="s">
        <v>183</v>
      </c>
    </row>
    <row r="1716" spans="2:2" x14ac:dyDescent="0.3">
      <c r="B1716" t="s">
        <v>44</v>
      </c>
    </row>
    <row r="1717" spans="2:2" x14ac:dyDescent="0.3">
      <c r="B1717" t="s">
        <v>1354</v>
      </c>
    </row>
    <row r="1718" spans="2:2" x14ac:dyDescent="0.3">
      <c r="B1718" t="s">
        <v>184</v>
      </c>
    </row>
    <row r="1719" spans="2:2" x14ac:dyDescent="0.3">
      <c r="B1719" t="s">
        <v>71</v>
      </c>
    </row>
    <row r="1720" spans="2:2" x14ac:dyDescent="0.3">
      <c r="B1720" t="s">
        <v>72</v>
      </c>
    </row>
    <row r="1721" spans="2:2" x14ac:dyDescent="0.3">
      <c r="B1721" t="s">
        <v>73</v>
      </c>
    </row>
    <row r="1722" spans="2:2" x14ac:dyDescent="0.3">
      <c r="B1722" t="s">
        <v>74</v>
      </c>
    </row>
    <row r="1723" spans="2:2" x14ac:dyDescent="0.3">
      <c r="B1723" t="s">
        <v>50</v>
      </c>
    </row>
    <row r="1724" spans="2:2" x14ac:dyDescent="0.3">
      <c r="B1724" t="s">
        <v>51</v>
      </c>
    </row>
    <row r="1725" spans="2:2" x14ac:dyDescent="0.3">
      <c r="B1725" t="s">
        <v>96</v>
      </c>
    </row>
    <row r="1726" spans="2:2" x14ac:dyDescent="0.3">
      <c r="B1726" t="s">
        <v>185</v>
      </c>
    </row>
    <row r="1727" spans="2:2" x14ac:dyDescent="0.3">
      <c r="B1727" t="s">
        <v>54</v>
      </c>
    </row>
    <row r="1728" spans="2:2" x14ac:dyDescent="0.3">
      <c r="B1728" t="s">
        <v>97</v>
      </c>
    </row>
    <row r="1729" spans="2:2" x14ac:dyDescent="0.3">
      <c r="B1729" t="s">
        <v>186</v>
      </c>
    </row>
    <row r="1730" spans="2:2" x14ac:dyDescent="0.3">
      <c r="B1730" t="s">
        <v>57</v>
      </c>
    </row>
    <row r="1731" spans="2:2" x14ac:dyDescent="0.3">
      <c r="B1731" t="s">
        <v>89</v>
      </c>
    </row>
    <row r="1732" spans="2:2" x14ac:dyDescent="0.3">
      <c r="B1732" t="s">
        <v>187</v>
      </c>
    </row>
    <row r="1733" spans="2:2" x14ac:dyDescent="0.3">
      <c r="B1733" t="s">
        <v>60</v>
      </c>
    </row>
    <row r="1734" spans="2:2" x14ac:dyDescent="0.3">
      <c r="B1734" t="s">
        <v>91</v>
      </c>
    </row>
    <row r="1735" spans="2:2" x14ac:dyDescent="0.3">
      <c r="B1735" t="s">
        <v>188</v>
      </c>
    </row>
    <row r="1736" spans="2:2" x14ac:dyDescent="0.3">
      <c r="B1736" t="s">
        <v>63</v>
      </c>
    </row>
    <row r="1737" spans="2:2" x14ac:dyDescent="0.3">
      <c r="B1737" t="s">
        <v>1263</v>
      </c>
    </row>
    <row r="1738" spans="2:2" x14ac:dyDescent="0.3">
      <c r="B1738" t="s">
        <v>42</v>
      </c>
    </row>
    <row r="1739" spans="2:2" x14ac:dyDescent="0.3">
      <c r="B1739" t="s">
        <v>189</v>
      </c>
    </row>
    <row r="1740" spans="2:2" x14ac:dyDescent="0.3">
      <c r="B1740" t="s">
        <v>44</v>
      </c>
    </row>
    <row r="1741" spans="2:2" x14ac:dyDescent="0.3">
      <c r="B1741" t="s">
        <v>1354</v>
      </c>
    </row>
    <row r="1742" spans="2:2" x14ac:dyDescent="0.3">
      <c r="B1742" t="s">
        <v>184</v>
      </c>
    </row>
    <row r="1743" spans="2:2" x14ac:dyDescent="0.3">
      <c r="B1743" t="s">
        <v>71</v>
      </c>
    </row>
    <row r="1744" spans="2:2" x14ac:dyDescent="0.3">
      <c r="B1744" t="s">
        <v>72</v>
      </c>
    </row>
    <row r="1745" spans="2:2" x14ac:dyDescent="0.3">
      <c r="B1745" t="s">
        <v>73</v>
      </c>
    </row>
    <row r="1746" spans="2:2" x14ac:dyDescent="0.3">
      <c r="B1746" t="s">
        <v>74</v>
      </c>
    </row>
    <row r="1747" spans="2:2" x14ac:dyDescent="0.3">
      <c r="B1747" t="s">
        <v>50</v>
      </c>
    </row>
    <row r="1748" spans="2:2" x14ac:dyDescent="0.3">
      <c r="B1748" t="s">
        <v>51</v>
      </c>
    </row>
    <row r="1749" spans="2:2" x14ac:dyDescent="0.3">
      <c r="B1749" t="s">
        <v>85</v>
      </c>
    </row>
    <row r="1750" spans="2:2" x14ac:dyDescent="0.3">
      <c r="B1750" t="s">
        <v>185</v>
      </c>
    </row>
    <row r="1751" spans="2:2" x14ac:dyDescent="0.3">
      <c r="B1751" t="s">
        <v>54</v>
      </c>
    </row>
    <row r="1752" spans="2:2" x14ac:dyDescent="0.3">
      <c r="B1752" t="s">
        <v>87</v>
      </c>
    </row>
    <row r="1753" spans="2:2" x14ac:dyDescent="0.3">
      <c r="B1753" t="s">
        <v>186</v>
      </c>
    </row>
    <row r="1754" spans="2:2" x14ac:dyDescent="0.3">
      <c r="B1754" t="s">
        <v>57</v>
      </c>
    </row>
    <row r="1755" spans="2:2" x14ac:dyDescent="0.3">
      <c r="B1755" t="s">
        <v>89</v>
      </c>
    </row>
    <row r="1756" spans="2:2" x14ac:dyDescent="0.3">
      <c r="B1756" t="s">
        <v>90</v>
      </c>
    </row>
    <row r="1757" spans="2:2" x14ac:dyDescent="0.3">
      <c r="B1757" t="s">
        <v>60</v>
      </c>
    </row>
    <row r="1758" spans="2:2" x14ac:dyDescent="0.3">
      <c r="B1758" t="s">
        <v>91</v>
      </c>
    </row>
    <row r="1759" spans="2:2" x14ac:dyDescent="0.3">
      <c r="B1759" t="s">
        <v>92</v>
      </c>
    </row>
    <row r="1760" spans="2:2" x14ac:dyDescent="0.3">
      <c r="B1760" t="s">
        <v>63</v>
      </c>
    </row>
    <row r="1761" spans="2:2" x14ac:dyDescent="0.3">
      <c r="B1761" t="s">
        <v>1263</v>
      </c>
    </row>
    <row r="1762" spans="2:2" x14ac:dyDescent="0.3">
      <c r="B1762" t="s">
        <v>42</v>
      </c>
    </row>
    <row r="1763" spans="2:2" x14ac:dyDescent="0.3">
      <c r="B1763" t="s">
        <v>190</v>
      </c>
    </row>
    <row r="1764" spans="2:2" x14ac:dyDescent="0.3">
      <c r="B1764" t="s">
        <v>44</v>
      </c>
    </row>
    <row r="1765" spans="2:2" x14ac:dyDescent="0.3">
      <c r="B1765" t="s">
        <v>1354</v>
      </c>
    </row>
    <row r="1766" spans="2:2" x14ac:dyDescent="0.3">
      <c r="B1766" t="s">
        <v>184</v>
      </c>
    </row>
    <row r="1767" spans="2:2" x14ac:dyDescent="0.3">
      <c r="B1767" t="s">
        <v>46</v>
      </c>
    </row>
    <row r="1768" spans="2:2" x14ac:dyDescent="0.3">
      <c r="B1768" t="s">
        <v>191</v>
      </c>
    </row>
    <row r="1769" spans="2:2" x14ac:dyDescent="0.3">
      <c r="B1769" t="s">
        <v>48</v>
      </c>
    </row>
    <row r="1770" spans="2:2" x14ac:dyDescent="0.3">
      <c r="B1770" t="s">
        <v>49</v>
      </c>
    </row>
    <row r="1771" spans="2:2" x14ac:dyDescent="0.3">
      <c r="B1771" t="s">
        <v>50</v>
      </c>
    </row>
    <row r="1772" spans="2:2" x14ac:dyDescent="0.3">
      <c r="B1772" t="s">
        <v>51</v>
      </c>
    </row>
    <row r="1773" spans="2:2" x14ac:dyDescent="0.3">
      <c r="B1773" t="s">
        <v>85</v>
      </c>
    </row>
    <row r="1774" spans="2:2" x14ac:dyDescent="0.3">
      <c r="B1774" t="s">
        <v>75</v>
      </c>
    </row>
    <row r="1775" spans="2:2" x14ac:dyDescent="0.3">
      <c r="B1775" t="s">
        <v>54</v>
      </c>
    </row>
    <row r="1776" spans="2:2" x14ac:dyDescent="0.3">
      <c r="B1776" t="s">
        <v>87</v>
      </c>
    </row>
    <row r="1777" spans="2:2" x14ac:dyDescent="0.3">
      <c r="B1777" t="s">
        <v>76</v>
      </c>
    </row>
    <row r="1778" spans="2:2" x14ac:dyDescent="0.3">
      <c r="B1778" t="s">
        <v>57</v>
      </c>
    </row>
    <row r="1779" spans="2:2" x14ac:dyDescent="0.3">
      <c r="B1779" t="s">
        <v>82</v>
      </c>
    </row>
    <row r="1780" spans="2:2" x14ac:dyDescent="0.3">
      <c r="B1780" t="s">
        <v>90</v>
      </c>
    </row>
    <row r="1781" spans="2:2" x14ac:dyDescent="0.3">
      <c r="B1781" t="s">
        <v>60</v>
      </c>
    </row>
    <row r="1782" spans="2:2" x14ac:dyDescent="0.3">
      <c r="B1782" t="s">
        <v>83</v>
      </c>
    </row>
    <row r="1783" spans="2:2" x14ac:dyDescent="0.3">
      <c r="B1783" t="s">
        <v>92</v>
      </c>
    </row>
    <row r="1784" spans="2:2" x14ac:dyDescent="0.3">
      <c r="B1784" t="s">
        <v>63</v>
      </c>
    </row>
    <row r="1785" spans="2:2" x14ac:dyDescent="0.3">
      <c r="B1785" t="s">
        <v>1263</v>
      </c>
    </row>
    <row r="1786" spans="2:2" x14ac:dyDescent="0.3">
      <c r="B1786" t="s">
        <v>42</v>
      </c>
    </row>
    <row r="1787" spans="2:2" x14ac:dyDescent="0.3">
      <c r="B1787" t="s">
        <v>192</v>
      </c>
    </row>
    <row r="1788" spans="2:2" x14ac:dyDescent="0.3">
      <c r="B1788" t="s">
        <v>44</v>
      </c>
    </row>
    <row r="1789" spans="2:2" x14ac:dyDescent="0.3">
      <c r="B1789" t="s">
        <v>1354</v>
      </c>
    </row>
    <row r="1790" spans="2:2" x14ac:dyDescent="0.3">
      <c r="B1790" t="s">
        <v>184</v>
      </c>
    </row>
    <row r="1791" spans="2:2" x14ac:dyDescent="0.3">
      <c r="B1791" t="s">
        <v>46</v>
      </c>
    </row>
    <row r="1792" spans="2:2" x14ac:dyDescent="0.3">
      <c r="B1792" t="s">
        <v>193</v>
      </c>
    </row>
    <row r="1793" spans="2:2" x14ac:dyDescent="0.3">
      <c r="B1793" t="s">
        <v>48</v>
      </c>
    </row>
    <row r="1794" spans="2:2" x14ac:dyDescent="0.3">
      <c r="B1794" t="s">
        <v>49</v>
      </c>
    </row>
    <row r="1795" spans="2:2" x14ac:dyDescent="0.3">
      <c r="B1795" t="s">
        <v>50</v>
      </c>
    </row>
    <row r="1796" spans="2:2" x14ac:dyDescent="0.3">
      <c r="B1796" t="s">
        <v>51</v>
      </c>
    </row>
    <row r="1797" spans="2:2" x14ac:dyDescent="0.3">
      <c r="B1797" t="s">
        <v>96</v>
      </c>
    </row>
    <row r="1798" spans="2:2" x14ac:dyDescent="0.3">
      <c r="B1798" t="s">
        <v>75</v>
      </c>
    </row>
    <row r="1799" spans="2:2" x14ac:dyDescent="0.3">
      <c r="B1799" t="s">
        <v>54</v>
      </c>
    </row>
    <row r="1800" spans="2:2" x14ac:dyDescent="0.3">
      <c r="B1800" t="s">
        <v>97</v>
      </c>
    </row>
    <row r="1801" spans="2:2" x14ac:dyDescent="0.3">
      <c r="B1801" t="s">
        <v>76</v>
      </c>
    </row>
    <row r="1802" spans="2:2" x14ac:dyDescent="0.3">
      <c r="B1802" t="s">
        <v>57</v>
      </c>
    </row>
    <row r="1803" spans="2:2" x14ac:dyDescent="0.3">
      <c r="B1803" t="s">
        <v>82</v>
      </c>
    </row>
    <row r="1804" spans="2:2" x14ac:dyDescent="0.3">
      <c r="B1804" t="s">
        <v>187</v>
      </c>
    </row>
    <row r="1805" spans="2:2" x14ac:dyDescent="0.3">
      <c r="B1805" t="s">
        <v>60</v>
      </c>
    </row>
    <row r="1806" spans="2:2" x14ac:dyDescent="0.3">
      <c r="B1806" t="s">
        <v>83</v>
      </c>
    </row>
    <row r="1807" spans="2:2" x14ac:dyDescent="0.3">
      <c r="B1807" t="s">
        <v>188</v>
      </c>
    </row>
    <row r="1808" spans="2:2" x14ac:dyDescent="0.3">
      <c r="B1808" t="s">
        <v>63</v>
      </c>
    </row>
    <row r="1809" spans="2:2" x14ac:dyDescent="0.3">
      <c r="B1809" t="s">
        <v>1263</v>
      </c>
    </row>
    <row r="1810" spans="2:2" x14ac:dyDescent="0.3">
      <c r="B1810" t="s">
        <v>42</v>
      </c>
    </row>
    <row r="1811" spans="2:2" x14ac:dyDescent="0.3">
      <c r="B1811" t="s">
        <v>194</v>
      </c>
    </row>
    <row r="1812" spans="2:2" x14ac:dyDescent="0.3">
      <c r="B1812" t="s">
        <v>104</v>
      </c>
    </row>
    <row r="1813" spans="2:2" x14ac:dyDescent="0.3">
      <c r="B1813" t="s">
        <v>105</v>
      </c>
    </row>
    <row r="1814" spans="2:2" x14ac:dyDescent="0.3">
      <c r="B1814" t="s">
        <v>184</v>
      </c>
    </row>
    <row r="1815" spans="2:2" x14ac:dyDescent="0.3">
      <c r="B1815" t="s">
        <v>106</v>
      </c>
    </row>
    <row r="1816" spans="2:2" x14ac:dyDescent="0.3">
      <c r="B1816" t="s">
        <v>72</v>
      </c>
    </row>
    <row r="1817" spans="2:2" x14ac:dyDescent="0.3">
      <c r="B1817" t="s">
        <v>48</v>
      </c>
    </row>
    <row r="1818" spans="2:2" x14ac:dyDescent="0.3">
      <c r="B1818" t="s">
        <v>49</v>
      </c>
    </row>
    <row r="1819" spans="2:2" x14ac:dyDescent="0.3">
      <c r="B1819" t="s">
        <v>50</v>
      </c>
    </row>
    <row r="1820" spans="2:2" x14ac:dyDescent="0.3">
      <c r="B1820" t="s">
        <v>51</v>
      </c>
    </row>
    <row r="1821" spans="2:2" x14ac:dyDescent="0.3">
      <c r="B1821" t="s">
        <v>96</v>
      </c>
    </row>
    <row r="1822" spans="2:2" x14ac:dyDescent="0.3">
      <c r="B1822" t="s">
        <v>185</v>
      </c>
    </row>
    <row r="1823" spans="2:2" x14ac:dyDescent="0.3">
      <c r="B1823" t="s">
        <v>107</v>
      </c>
    </row>
    <row r="1824" spans="2:2" x14ac:dyDescent="0.3">
      <c r="B1824" t="s">
        <v>97</v>
      </c>
    </row>
    <row r="1825" spans="2:2" x14ac:dyDescent="0.3">
      <c r="B1825" t="s">
        <v>76</v>
      </c>
    </row>
    <row r="1826" spans="2:2" x14ac:dyDescent="0.3">
      <c r="B1826" t="s">
        <v>57</v>
      </c>
    </row>
    <row r="1827" spans="2:2" x14ac:dyDescent="0.3">
      <c r="B1827" t="s">
        <v>89</v>
      </c>
    </row>
    <row r="1828" spans="2:2" x14ac:dyDescent="0.3">
      <c r="B1828" t="s">
        <v>90</v>
      </c>
    </row>
    <row r="1829" spans="2:2" x14ac:dyDescent="0.3">
      <c r="B1829" t="s">
        <v>60</v>
      </c>
    </row>
    <row r="1830" spans="2:2" x14ac:dyDescent="0.3">
      <c r="B1830" t="s">
        <v>91</v>
      </c>
    </row>
    <row r="1831" spans="2:2" x14ac:dyDescent="0.3">
      <c r="B1831" t="s">
        <v>188</v>
      </c>
    </row>
    <row r="1832" spans="2:2" x14ac:dyDescent="0.3">
      <c r="B1832" t="s">
        <v>146</v>
      </c>
    </row>
    <row r="1833" spans="2:2" x14ac:dyDescent="0.3">
      <c r="B1833" t="s">
        <v>1263</v>
      </c>
    </row>
    <row r="1834" spans="2:2" x14ac:dyDescent="0.3">
      <c r="B1834" t="s">
        <v>42</v>
      </c>
    </row>
    <row r="1835" spans="2:2" x14ac:dyDescent="0.3">
      <c r="B1835" t="s">
        <v>195</v>
      </c>
    </row>
    <row r="1836" spans="2:2" x14ac:dyDescent="0.3">
      <c r="B1836" t="s">
        <v>116</v>
      </c>
    </row>
    <row r="1837" spans="2:2" x14ac:dyDescent="0.3">
      <c r="B1837" t="s">
        <v>1353</v>
      </c>
    </row>
    <row r="1838" spans="2:2" x14ac:dyDescent="0.3">
      <c r="B1838" t="s">
        <v>184</v>
      </c>
    </row>
    <row r="1839" spans="2:2" x14ac:dyDescent="0.3">
      <c r="B1839" t="s">
        <v>46</v>
      </c>
    </row>
    <row r="1840" spans="2:2" x14ac:dyDescent="0.3">
      <c r="B1840" t="s">
        <v>196</v>
      </c>
    </row>
    <row r="1841" spans="2:2" x14ac:dyDescent="0.3">
      <c r="B1841" t="s">
        <v>48</v>
      </c>
    </row>
    <row r="1842" spans="2:2" x14ac:dyDescent="0.3">
      <c r="B1842" t="s">
        <v>49</v>
      </c>
    </row>
    <row r="1843" spans="2:2" x14ac:dyDescent="0.3">
      <c r="B1843" t="s">
        <v>50</v>
      </c>
    </row>
    <row r="1844" spans="2:2" x14ac:dyDescent="0.3">
      <c r="B1844" t="s">
        <v>51</v>
      </c>
    </row>
    <row r="1845" spans="2:2" x14ac:dyDescent="0.3">
      <c r="B1845" t="s">
        <v>96</v>
      </c>
    </row>
    <row r="1846" spans="2:2" x14ac:dyDescent="0.3">
      <c r="B1846" t="s">
        <v>75</v>
      </c>
    </row>
    <row r="1847" spans="2:2" x14ac:dyDescent="0.3">
      <c r="B1847" t="s">
        <v>54</v>
      </c>
    </row>
    <row r="1848" spans="2:2" x14ac:dyDescent="0.3">
      <c r="B1848" t="s">
        <v>97</v>
      </c>
    </row>
    <row r="1849" spans="2:2" x14ac:dyDescent="0.3">
      <c r="B1849" t="s">
        <v>186</v>
      </c>
    </row>
    <row r="1850" spans="2:2" x14ac:dyDescent="0.3">
      <c r="B1850" t="s">
        <v>118</v>
      </c>
    </row>
    <row r="1851" spans="2:2" x14ac:dyDescent="0.3">
      <c r="B1851" t="s">
        <v>89</v>
      </c>
    </row>
    <row r="1852" spans="2:2" x14ac:dyDescent="0.3">
      <c r="B1852" t="s">
        <v>187</v>
      </c>
    </row>
    <row r="1853" spans="2:2" x14ac:dyDescent="0.3">
      <c r="B1853" t="s">
        <v>120</v>
      </c>
    </row>
    <row r="1854" spans="2:2" x14ac:dyDescent="0.3">
      <c r="B1854" t="s">
        <v>91</v>
      </c>
    </row>
    <row r="1855" spans="2:2" x14ac:dyDescent="0.3">
      <c r="B1855" t="s">
        <v>92</v>
      </c>
    </row>
    <row r="1856" spans="2:2" x14ac:dyDescent="0.3">
      <c r="B1856" t="s">
        <v>63</v>
      </c>
    </row>
    <row r="1857" spans="2:2" x14ac:dyDescent="0.3">
      <c r="B1857" t="s">
        <v>1263</v>
      </c>
    </row>
    <row r="1858" spans="2:2" x14ac:dyDescent="0.3">
      <c r="B1858" t="s">
        <v>42</v>
      </c>
    </row>
    <row r="1859" spans="2:2" x14ac:dyDescent="0.3">
      <c r="B1859" t="s">
        <v>197</v>
      </c>
    </row>
    <row r="1860" spans="2:2" x14ac:dyDescent="0.3">
      <c r="B1860" t="s">
        <v>104</v>
      </c>
    </row>
    <row r="1861" spans="2:2" x14ac:dyDescent="0.3">
      <c r="B1861" t="s">
        <v>1353</v>
      </c>
    </row>
    <row r="1862" spans="2:2" x14ac:dyDescent="0.3">
      <c r="B1862" t="s">
        <v>198</v>
      </c>
    </row>
    <row r="1863" spans="2:2" x14ac:dyDescent="0.3">
      <c r="B1863" t="s">
        <v>46</v>
      </c>
    </row>
    <row r="1864" spans="2:2" x14ac:dyDescent="0.3">
      <c r="B1864" t="s">
        <v>199</v>
      </c>
    </row>
    <row r="1865" spans="2:2" x14ac:dyDescent="0.3">
      <c r="B1865" t="s">
        <v>48</v>
      </c>
    </row>
    <row r="1866" spans="2:2" x14ac:dyDescent="0.3">
      <c r="B1866" t="s">
        <v>49</v>
      </c>
    </row>
    <row r="1867" spans="2:2" x14ac:dyDescent="0.3">
      <c r="B1867" t="s">
        <v>50</v>
      </c>
    </row>
    <row r="1868" spans="2:2" x14ac:dyDescent="0.3">
      <c r="B1868" t="s">
        <v>51</v>
      </c>
    </row>
    <row r="1869" spans="2:2" x14ac:dyDescent="0.3">
      <c r="B1869" t="s">
        <v>96</v>
      </c>
    </row>
    <row r="1870" spans="2:2" x14ac:dyDescent="0.3">
      <c r="B1870" t="s">
        <v>80</v>
      </c>
    </row>
    <row r="1871" spans="2:2" x14ac:dyDescent="0.3">
      <c r="B1871" t="s">
        <v>107</v>
      </c>
    </row>
    <row r="1872" spans="2:2" x14ac:dyDescent="0.3">
      <c r="B1872" t="s">
        <v>97</v>
      </c>
    </row>
    <row r="1873" spans="2:2" x14ac:dyDescent="0.3">
      <c r="B1873" t="s">
        <v>88</v>
      </c>
    </row>
    <row r="1874" spans="2:2" x14ac:dyDescent="0.3">
      <c r="B1874" t="s">
        <v>57</v>
      </c>
    </row>
    <row r="1875" spans="2:2" x14ac:dyDescent="0.3">
      <c r="B1875" t="s">
        <v>89</v>
      </c>
    </row>
    <row r="1876" spans="2:2" x14ac:dyDescent="0.3">
      <c r="B1876" t="s">
        <v>98</v>
      </c>
    </row>
    <row r="1877" spans="2:2" x14ac:dyDescent="0.3">
      <c r="B1877" t="s">
        <v>60</v>
      </c>
    </row>
    <row r="1878" spans="2:2" x14ac:dyDescent="0.3">
      <c r="B1878" t="s">
        <v>91</v>
      </c>
    </row>
    <row r="1879" spans="2:2" x14ac:dyDescent="0.3">
      <c r="B1879" t="s">
        <v>69</v>
      </c>
    </row>
    <row r="1880" spans="2:2" x14ac:dyDescent="0.3">
      <c r="B1880" t="s">
        <v>146</v>
      </c>
    </row>
    <row r="1881" spans="2:2" x14ac:dyDescent="0.3">
      <c r="B1881" t="s">
        <v>1263</v>
      </c>
    </row>
    <row r="1882" spans="2:2" x14ac:dyDescent="0.3">
      <c r="B1882" t="s">
        <v>42</v>
      </c>
    </row>
    <row r="1883" spans="2:2" x14ac:dyDescent="0.3">
      <c r="B1883" t="s">
        <v>200</v>
      </c>
    </row>
    <row r="1884" spans="2:2" x14ac:dyDescent="0.3">
      <c r="B1884" t="s">
        <v>104</v>
      </c>
    </row>
    <row r="1885" spans="2:2" x14ac:dyDescent="0.3">
      <c r="B1885" t="s">
        <v>1353</v>
      </c>
    </row>
    <row r="1886" spans="2:2" x14ac:dyDescent="0.3">
      <c r="B1886" t="s">
        <v>198</v>
      </c>
    </row>
    <row r="1887" spans="2:2" x14ac:dyDescent="0.3">
      <c r="B1887" t="s">
        <v>106</v>
      </c>
    </row>
    <row r="1888" spans="2:2" x14ac:dyDescent="0.3">
      <c r="B1888" t="s">
        <v>72</v>
      </c>
    </row>
    <row r="1889" spans="2:2" x14ac:dyDescent="0.3">
      <c r="B1889" t="s">
        <v>48</v>
      </c>
    </row>
    <row r="1890" spans="2:2" x14ac:dyDescent="0.3">
      <c r="B1890" t="s">
        <v>49</v>
      </c>
    </row>
    <row r="1891" spans="2:2" x14ac:dyDescent="0.3">
      <c r="B1891" t="s">
        <v>50</v>
      </c>
    </row>
    <row r="1892" spans="2:2" x14ac:dyDescent="0.3">
      <c r="B1892" t="s">
        <v>51</v>
      </c>
    </row>
    <row r="1893" spans="2:2" x14ac:dyDescent="0.3">
      <c r="B1893" t="s">
        <v>201</v>
      </c>
    </row>
    <row r="1894" spans="2:2" x14ac:dyDescent="0.3">
      <c r="B1894" t="s">
        <v>80</v>
      </c>
    </row>
    <row r="1895" spans="2:2" x14ac:dyDescent="0.3">
      <c r="B1895" t="s">
        <v>107</v>
      </c>
    </row>
    <row r="1896" spans="2:2" x14ac:dyDescent="0.3">
      <c r="B1896" t="s">
        <v>202</v>
      </c>
    </row>
    <row r="1897" spans="2:2" x14ac:dyDescent="0.3">
      <c r="B1897" t="s">
        <v>76</v>
      </c>
    </row>
    <row r="1898" spans="2:2" x14ac:dyDescent="0.3">
      <c r="B1898" t="s">
        <v>203</v>
      </c>
    </row>
    <row r="1899" spans="2:2" x14ac:dyDescent="0.3">
      <c r="B1899" t="s">
        <v>89</v>
      </c>
    </row>
    <row r="1900" spans="2:2" x14ac:dyDescent="0.3">
      <c r="B1900" t="s">
        <v>90</v>
      </c>
    </row>
    <row r="1901" spans="2:2" x14ac:dyDescent="0.3">
      <c r="B1901" t="s">
        <v>60</v>
      </c>
    </row>
    <row r="1902" spans="2:2" x14ac:dyDescent="0.3">
      <c r="B1902" t="s">
        <v>91</v>
      </c>
    </row>
    <row r="1903" spans="2:2" x14ac:dyDescent="0.3">
      <c r="B1903" t="s">
        <v>99</v>
      </c>
    </row>
    <row r="1904" spans="2:2" x14ac:dyDescent="0.3">
      <c r="B1904" t="s">
        <v>108</v>
      </c>
    </row>
    <row r="1905" spans="2:2" x14ac:dyDescent="0.3">
      <c r="B1905" t="s">
        <v>109</v>
      </c>
    </row>
    <row r="1906" spans="2:2" x14ac:dyDescent="0.3">
      <c r="B1906" t="s">
        <v>110</v>
      </c>
    </row>
    <row r="1907" spans="2:2" x14ac:dyDescent="0.3">
      <c r="B1907" t="s">
        <v>111</v>
      </c>
    </row>
    <row r="1908" spans="2:2" x14ac:dyDescent="0.3">
      <c r="B1908" t="s">
        <v>112</v>
      </c>
    </row>
    <row r="1909" spans="2:2" x14ac:dyDescent="0.3">
      <c r="B1909" t="s">
        <v>113</v>
      </c>
    </row>
    <row r="1910" spans="2:2" x14ac:dyDescent="0.3">
      <c r="B1910" t="s">
        <v>114</v>
      </c>
    </row>
    <row r="1911" spans="2:2" x14ac:dyDescent="0.3">
      <c r="B1911" t="s">
        <v>1263</v>
      </c>
    </row>
    <row r="1912" spans="2:2" x14ac:dyDescent="0.3">
      <c r="B1912" t="s">
        <v>42</v>
      </c>
    </row>
    <row r="1913" spans="2:2" x14ac:dyDescent="0.3">
      <c r="B1913" t="s">
        <v>204</v>
      </c>
    </row>
    <row r="1914" spans="2:2" x14ac:dyDescent="0.3">
      <c r="B1914" t="s">
        <v>44</v>
      </c>
    </row>
    <row r="1915" spans="2:2" x14ac:dyDescent="0.3">
      <c r="B1915" t="s">
        <v>1354</v>
      </c>
    </row>
    <row r="1916" spans="2:2" x14ac:dyDescent="0.3">
      <c r="B1916" t="s">
        <v>198</v>
      </c>
    </row>
    <row r="1917" spans="2:2" x14ac:dyDescent="0.3">
      <c r="B1917" t="s">
        <v>46</v>
      </c>
    </row>
    <row r="1918" spans="2:2" x14ac:dyDescent="0.3">
      <c r="B1918" t="s">
        <v>205</v>
      </c>
    </row>
    <row r="1919" spans="2:2" x14ac:dyDescent="0.3">
      <c r="B1919" t="s">
        <v>48</v>
      </c>
    </row>
    <row r="1920" spans="2:2" x14ac:dyDescent="0.3">
      <c r="B1920" t="s">
        <v>49</v>
      </c>
    </row>
    <row r="1921" spans="2:2" x14ac:dyDescent="0.3">
      <c r="B1921" t="s">
        <v>50</v>
      </c>
    </row>
    <row r="1922" spans="2:2" x14ac:dyDescent="0.3">
      <c r="B1922" t="s">
        <v>51</v>
      </c>
    </row>
    <row r="1923" spans="2:2" x14ac:dyDescent="0.3">
      <c r="B1923" t="s">
        <v>201</v>
      </c>
    </row>
    <row r="1924" spans="2:2" x14ac:dyDescent="0.3">
      <c r="B1924" t="s">
        <v>75</v>
      </c>
    </row>
    <row r="1925" spans="2:2" x14ac:dyDescent="0.3">
      <c r="B1925" t="s">
        <v>206</v>
      </c>
    </row>
    <row r="1926" spans="2:2" x14ac:dyDescent="0.3">
      <c r="B1926" t="s">
        <v>202</v>
      </c>
    </row>
    <row r="1927" spans="2:2" x14ac:dyDescent="0.3">
      <c r="B1927" t="s">
        <v>76</v>
      </c>
    </row>
    <row r="1928" spans="2:2" x14ac:dyDescent="0.3">
      <c r="B1928" t="s">
        <v>203</v>
      </c>
    </row>
    <row r="1929" spans="2:2" x14ac:dyDescent="0.3">
      <c r="B1929" t="s">
        <v>119</v>
      </c>
    </row>
    <row r="1930" spans="2:2" x14ac:dyDescent="0.3">
      <c r="B1930" t="s">
        <v>68</v>
      </c>
    </row>
    <row r="1931" spans="2:2" x14ac:dyDescent="0.3">
      <c r="B1931" t="s">
        <v>60</v>
      </c>
    </row>
    <row r="1932" spans="2:2" x14ac:dyDescent="0.3">
      <c r="B1932" t="s">
        <v>121</v>
      </c>
    </row>
    <row r="1933" spans="2:2" x14ac:dyDescent="0.3">
      <c r="B1933" t="s">
        <v>69</v>
      </c>
    </row>
    <row r="1934" spans="2:2" x14ac:dyDescent="0.3">
      <c r="B1934" t="s">
        <v>207</v>
      </c>
    </row>
    <row r="1935" spans="2:2" x14ac:dyDescent="0.3">
      <c r="B1935" t="s">
        <v>1263</v>
      </c>
    </row>
    <row r="1936" spans="2:2" x14ac:dyDescent="0.3">
      <c r="B1936" t="s">
        <v>42</v>
      </c>
    </row>
    <row r="1937" spans="2:2" x14ac:dyDescent="0.3">
      <c r="B1937" t="s">
        <v>208</v>
      </c>
    </row>
    <row r="1938" spans="2:2" x14ac:dyDescent="0.3">
      <c r="B1938" t="s">
        <v>44</v>
      </c>
    </row>
    <row r="1939" spans="2:2" x14ac:dyDescent="0.3">
      <c r="B1939" t="s">
        <v>1354</v>
      </c>
    </row>
    <row r="1940" spans="2:2" x14ac:dyDescent="0.3">
      <c r="B1940" t="s">
        <v>198</v>
      </c>
    </row>
    <row r="1941" spans="2:2" x14ac:dyDescent="0.3">
      <c r="B1941" t="s">
        <v>71</v>
      </c>
    </row>
    <row r="1942" spans="2:2" x14ac:dyDescent="0.3">
      <c r="B1942" t="s">
        <v>72</v>
      </c>
    </row>
    <row r="1943" spans="2:2" x14ac:dyDescent="0.3">
      <c r="B1943" t="s">
        <v>73</v>
      </c>
    </row>
    <row r="1944" spans="2:2" x14ac:dyDescent="0.3">
      <c r="B1944" t="s">
        <v>74</v>
      </c>
    </row>
    <row r="1945" spans="2:2" x14ac:dyDescent="0.3">
      <c r="B1945" t="s">
        <v>50</v>
      </c>
    </row>
    <row r="1946" spans="2:2" x14ac:dyDescent="0.3">
      <c r="B1946" t="s">
        <v>51</v>
      </c>
    </row>
    <row r="1947" spans="2:2" x14ac:dyDescent="0.3">
      <c r="B1947" t="s">
        <v>201</v>
      </c>
    </row>
    <row r="1948" spans="2:2" x14ac:dyDescent="0.3">
      <c r="B1948" t="s">
        <v>80</v>
      </c>
    </row>
    <row r="1949" spans="2:2" x14ac:dyDescent="0.3">
      <c r="B1949" t="s">
        <v>206</v>
      </c>
    </row>
    <row r="1950" spans="2:2" x14ac:dyDescent="0.3">
      <c r="B1950" t="s">
        <v>202</v>
      </c>
    </row>
    <row r="1951" spans="2:2" x14ac:dyDescent="0.3">
      <c r="B1951" t="s">
        <v>81</v>
      </c>
    </row>
    <row r="1952" spans="2:2" x14ac:dyDescent="0.3">
      <c r="B1952" t="s">
        <v>57</v>
      </c>
    </row>
    <row r="1953" spans="2:2" x14ac:dyDescent="0.3">
      <c r="B1953" t="s">
        <v>89</v>
      </c>
    </row>
    <row r="1954" spans="2:2" x14ac:dyDescent="0.3">
      <c r="B1954" t="s">
        <v>68</v>
      </c>
    </row>
    <row r="1955" spans="2:2" x14ac:dyDescent="0.3">
      <c r="B1955" t="s">
        <v>209</v>
      </c>
    </row>
    <row r="1956" spans="2:2" x14ac:dyDescent="0.3">
      <c r="B1956" t="s">
        <v>1263</v>
      </c>
    </row>
    <row r="1957" spans="2:2" x14ac:dyDescent="0.3">
      <c r="B1957" t="s">
        <v>42</v>
      </c>
    </row>
    <row r="1958" spans="2:2" x14ac:dyDescent="0.3">
      <c r="B1958" t="s">
        <v>210</v>
      </c>
    </row>
    <row r="1959" spans="2:2" x14ac:dyDescent="0.3">
      <c r="B1959" t="s">
        <v>44</v>
      </c>
    </row>
    <row r="1960" spans="2:2" x14ac:dyDescent="0.3">
      <c r="B1960" t="s">
        <v>1354</v>
      </c>
    </row>
    <row r="1961" spans="2:2" x14ac:dyDescent="0.3">
      <c r="B1961" t="s">
        <v>198</v>
      </c>
    </row>
    <row r="1962" spans="2:2" x14ac:dyDescent="0.3">
      <c r="B1962" t="s">
        <v>71</v>
      </c>
    </row>
    <row r="1963" spans="2:2" x14ac:dyDescent="0.3">
      <c r="B1963" t="s">
        <v>72</v>
      </c>
    </row>
    <row r="1964" spans="2:2" x14ac:dyDescent="0.3">
      <c r="B1964" t="s">
        <v>73</v>
      </c>
    </row>
    <row r="1965" spans="2:2" x14ac:dyDescent="0.3">
      <c r="B1965" t="s">
        <v>74</v>
      </c>
    </row>
    <row r="1966" spans="2:2" x14ac:dyDescent="0.3">
      <c r="B1966" t="s">
        <v>50</v>
      </c>
    </row>
    <row r="1967" spans="2:2" x14ac:dyDescent="0.3">
      <c r="B1967" t="s">
        <v>51</v>
      </c>
    </row>
    <row r="1968" spans="2:2" x14ac:dyDescent="0.3">
      <c r="B1968" t="s">
        <v>201</v>
      </c>
    </row>
    <row r="1969" spans="2:2" x14ac:dyDescent="0.3">
      <c r="B1969" t="s">
        <v>75</v>
      </c>
    </row>
    <row r="1970" spans="2:2" x14ac:dyDescent="0.3">
      <c r="B1970" t="s">
        <v>206</v>
      </c>
    </row>
    <row r="1971" spans="2:2" x14ac:dyDescent="0.3">
      <c r="B1971" t="s">
        <v>87</v>
      </c>
    </row>
    <row r="1972" spans="2:2" x14ac:dyDescent="0.3">
      <c r="B1972" t="s">
        <v>76</v>
      </c>
    </row>
    <row r="1973" spans="2:2" x14ac:dyDescent="0.3">
      <c r="B1973" t="s">
        <v>57</v>
      </c>
    </row>
    <row r="1974" spans="2:2" x14ac:dyDescent="0.3">
      <c r="B1974" t="s">
        <v>119</v>
      </c>
    </row>
    <row r="1975" spans="2:2" x14ac:dyDescent="0.3">
      <c r="B1975" t="s">
        <v>90</v>
      </c>
    </row>
    <row r="1976" spans="2:2" x14ac:dyDescent="0.3">
      <c r="B1976" t="s">
        <v>211</v>
      </c>
    </row>
    <row r="1977" spans="2:2" x14ac:dyDescent="0.3">
      <c r="B1977" t="s">
        <v>1263</v>
      </c>
    </row>
    <row r="1978" spans="2:2" x14ac:dyDescent="0.3">
      <c r="B1978" t="s">
        <v>42</v>
      </c>
    </row>
    <row r="1979" spans="2:2" x14ac:dyDescent="0.3">
      <c r="B1979" t="s">
        <v>212</v>
      </c>
    </row>
    <row r="1980" spans="2:2" x14ac:dyDescent="0.3">
      <c r="B1980" t="s">
        <v>213</v>
      </c>
    </row>
    <row r="1981" spans="2:2" x14ac:dyDescent="0.3">
      <c r="B1981" t="s">
        <v>1355</v>
      </c>
    </row>
    <row r="1982" spans="2:2" x14ac:dyDescent="0.3">
      <c r="B1982" t="s">
        <v>198</v>
      </c>
    </row>
    <row r="1983" spans="2:2" x14ac:dyDescent="0.3">
      <c r="B1983" t="s">
        <v>71</v>
      </c>
    </row>
    <row r="1984" spans="2:2" x14ac:dyDescent="0.3">
      <c r="B1984" t="s">
        <v>72</v>
      </c>
    </row>
    <row r="1985" spans="2:2" x14ac:dyDescent="0.3">
      <c r="B1985" t="s">
        <v>73</v>
      </c>
    </row>
    <row r="1986" spans="2:2" x14ac:dyDescent="0.3">
      <c r="B1986" t="s">
        <v>74</v>
      </c>
    </row>
    <row r="1987" spans="2:2" x14ac:dyDescent="0.3">
      <c r="B1987" t="s">
        <v>50</v>
      </c>
    </row>
    <row r="1988" spans="2:2" x14ac:dyDescent="0.3">
      <c r="B1988" t="s">
        <v>51</v>
      </c>
    </row>
    <row r="1989" spans="2:2" x14ac:dyDescent="0.3">
      <c r="B1989" t="s">
        <v>201</v>
      </c>
    </row>
    <row r="1990" spans="2:2" x14ac:dyDescent="0.3">
      <c r="B1990" t="s">
        <v>80</v>
      </c>
    </row>
    <row r="1991" spans="2:2" x14ac:dyDescent="0.3">
      <c r="B1991" t="s">
        <v>206</v>
      </c>
    </row>
    <row r="1992" spans="2:2" x14ac:dyDescent="0.3">
      <c r="B1992" t="s">
        <v>87</v>
      </c>
    </row>
    <row r="1993" spans="2:2" x14ac:dyDescent="0.3">
      <c r="B1993" t="s">
        <v>81</v>
      </c>
    </row>
    <row r="1994" spans="2:2" x14ac:dyDescent="0.3">
      <c r="B1994" t="s">
        <v>57</v>
      </c>
    </row>
    <row r="1995" spans="2:2" x14ac:dyDescent="0.3">
      <c r="B1995" t="s">
        <v>89</v>
      </c>
    </row>
    <row r="1996" spans="2:2" x14ac:dyDescent="0.3">
      <c r="B1996" t="s">
        <v>90</v>
      </c>
    </row>
    <row r="1997" spans="2:2" x14ac:dyDescent="0.3">
      <c r="B1997" t="s">
        <v>60</v>
      </c>
    </row>
    <row r="1998" spans="2:2" x14ac:dyDescent="0.3">
      <c r="B1998" t="s">
        <v>121</v>
      </c>
    </row>
    <row r="1999" spans="2:2" x14ac:dyDescent="0.3">
      <c r="B1999" t="s">
        <v>92</v>
      </c>
    </row>
    <row r="2000" spans="2:2" x14ac:dyDescent="0.3">
      <c r="B2000" t="s">
        <v>207</v>
      </c>
    </row>
    <row r="2001" spans="2:2" x14ac:dyDescent="0.3">
      <c r="B2001" t="s">
        <v>1263</v>
      </c>
    </row>
    <row r="2002" spans="2:2" x14ac:dyDescent="0.3">
      <c r="B2002" t="s">
        <v>42</v>
      </c>
    </row>
    <row r="2003" spans="2:2" x14ac:dyDescent="0.3">
      <c r="B2003" t="s">
        <v>214</v>
      </c>
    </row>
    <row r="2004" spans="2:2" x14ac:dyDescent="0.3">
      <c r="B2004" t="s">
        <v>104</v>
      </c>
    </row>
    <row r="2005" spans="2:2" x14ac:dyDescent="0.3">
      <c r="B2005" t="s">
        <v>1353</v>
      </c>
    </row>
    <row r="2006" spans="2:2" x14ac:dyDescent="0.3">
      <c r="B2006" t="s">
        <v>215</v>
      </c>
    </row>
    <row r="2007" spans="2:2" x14ac:dyDescent="0.3">
      <c r="B2007" t="s">
        <v>46</v>
      </c>
    </row>
    <row r="2008" spans="2:2" x14ac:dyDescent="0.3">
      <c r="B2008" t="s">
        <v>216</v>
      </c>
    </row>
    <row r="2009" spans="2:2" x14ac:dyDescent="0.3">
      <c r="B2009" t="s">
        <v>48</v>
      </c>
    </row>
    <row r="2010" spans="2:2" x14ac:dyDescent="0.3">
      <c r="B2010" t="s">
        <v>49</v>
      </c>
    </row>
    <row r="2011" spans="2:2" x14ac:dyDescent="0.3">
      <c r="B2011" t="s">
        <v>50</v>
      </c>
    </row>
    <row r="2012" spans="2:2" x14ac:dyDescent="0.3">
      <c r="B2012" t="s">
        <v>51</v>
      </c>
    </row>
    <row r="2013" spans="2:2" x14ac:dyDescent="0.3">
      <c r="B2013" t="s">
        <v>125</v>
      </c>
    </row>
    <row r="2014" spans="2:2" x14ac:dyDescent="0.3">
      <c r="B2014" t="s">
        <v>126</v>
      </c>
    </row>
    <row r="2015" spans="2:2" x14ac:dyDescent="0.3">
      <c r="B2015" t="s">
        <v>217</v>
      </c>
    </row>
    <row r="2016" spans="2:2" x14ac:dyDescent="0.3">
      <c r="B2016" t="s">
        <v>127</v>
      </c>
    </row>
    <row r="2017" spans="2:2" x14ac:dyDescent="0.3">
      <c r="B2017" t="s">
        <v>141</v>
      </c>
    </row>
    <row r="2018" spans="2:2" x14ac:dyDescent="0.3">
      <c r="B2018" t="s">
        <v>218</v>
      </c>
    </row>
    <row r="2019" spans="2:2" x14ac:dyDescent="0.3">
      <c r="B2019" t="s">
        <v>219</v>
      </c>
    </row>
    <row r="2020" spans="2:2" x14ac:dyDescent="0.3">
      <c r="B2020" t="s">
        <v>137</v>
      </c>
    </row>
    <row r="2021" spans="2:2" x14ac:dyDescent="0.3">
      <c r="B2021" t="s">
        <v>220</v>
      </c>
    </row>
    <row r="2022" spans="2:2" x14ac:dyDescent="0.3">
      <c r="B2022" t="s">
        <v>221</v>
      </c>
    </row>
    <row r="2023" spans="2:2" x14ac:dyDescent="0.3">
      <c r="B2023" t="s">
        <v>132</v>
      </c>
    </row>
    <row r="2024" spans="2:2" x14ac:dyDescent="0.3">
      <c r="B2024" t="s">
        <v>222</v>
      </c>
    </row>
    <row r="2025" spans="2:2" x14ac:dyDescent="0.3">
      <c r="B2025" t="s">
        <v>1263</v>
      </c>
    </row>
    <row r="2026" spans="2:2" x14ac:dyDescent="0.3">
      <c r="B2026" t="s">
        <v>42</v>
      </c>
    </row>
    <row r="2027" spans="2:2" x14ac:dyDescent="0.3">
      <c r="B2027" t="s">
        <v>223</v>
      </c>
    </row>
    <row r="2028" spans="2:2" x14ac:dyDescent="0.3">
      <c r="B2028" t="s">
        <v>104</v>
      </c>
    </row>
    <row r="2029" spans="2:2" x14ac:dyDescent="0.3">
      <c r="B2029" t="s">
        <v>1353</v>
      </c>
    </row>
    <row r="2030" spans="2:2" x14ac:dyDescent="0.3">
      <c r="B2030" t="s">
        <v>215</v>
      </c>
    </row>
    <row r="2031" spans="2:2" x14ac:dyDescent="0.3">
      <c r="B2031" t="s">
        <v>46</v>
      </c>
    </row>
    <row r="2032" spans="2:2" x14ac:dyDescent="0.3">
      <c r="B2032" t="s">
        <v>224</v>
      </c>
    </row>
    <row r="2033" spans="2:2" x14ac:dyDescent="0.3">
      <c r="B2033" t="s">
        <v>48</v>
      </c>
    </row>
    <row r="2034" spans="2:2" x14ac:dyDescent="0.3">
      <c r="B2034" t="s">
        <v>49</v>
      </c>
    </row>
    <row r="2035" spans="2:2" x14ac:dyDescent="0.3">
      <c r="B2035" t="s">
        <v>50</v>
      </c>
    </row>
    <row r="2036" spans="2:2" x14ac:dyDescent="0.3">
      <c r="B2036" t="s">
        <v>51</v>
      </c>
    </row>
    <row r="2037" spans="2:2" x14ac:dyDescent="0.3">
      <c r="B2037" t="s">
        <v>125</v>
      </c>
    </row>
    <row r="2038" spans="2:2" x14ac:dyDescent="0.3">
      <c r="B2038" t="s">
        <v>225</v>
      </c>
    </row>
    <row r="2039" spans="2:2" x14ac:dyDescent="0.3">
      <c r="B2039" t="s">
        <v>226</v>
      </c>
    </row>
    <row r="2040" spans="2:2" x14ac:dyDescent="0.3">
      <c r="B2040" t="s">
        <v>127</v>
      </c>
    </row>
    <row r="2041" spans="2:2" x14ac:dyDescent="0.3">
      <c r="B2041" t="s">
        <v>128</v>
      </c>
    </row>
    <row r="2042" spans="2:2" x14ac:dyDescent="0.3">
      <c r="B2042" t="s">
        <v>227</v>
      </c>
    </row>
    <row r="2043" spans="2:2" x14ac:dyDescent="0.3">
      <c r="B2043" t="s">
        <v>228</v>
      </c>
    </row>
    <row r="2044" spans="2:2" x14ac:dyDescent="0.3">
      <c r="B2044" t="s">
        <v>130</v>
      </c>
    </row>
    <row r="2045" spans="2:2" x14ac:dyDescent="0.3">
      <c r="B2045" t="s">
        <v>229</v>
      </c>
    </row>
    <row r="2046" spans="2:2" x14ac:dyDescent="0.3">
      <c r="B2046" t="s">
        <v>131</v>
      </c>
    </row>
    <row r="2047" spans="2:2" x14ac:dyDescent="0.3">
      <c r="B2047" t="s">
        <v>230</v>
      </c>
    </row>
    <row r="2048" spans="2:2" x14ac:dyDescent="0.3">
      <c r="B2048" t="s">
        <v>231</v>
      </c>
    </row>
    <row r="2049" spans="2:2" x14ac:dyDescent="0.3">
      <c r="B2049" t="s">
        <v>1263</v>
      </c>
    </row>
    <row r="2050" spans="2:2" x14ac:dyDescent="0.3">
      <c r="B2050" t="s">
        <v>42</v>
      </c>
    </row>
    <row r="2051" spans="2:2" x14ac:dyDescent="0.3">
      <c r="B2051" t="s">
        <v>232</v>
      </c>
    </row>
    <row r="2052" spans="2:2" x14ac:dyDescent="0.3">
      <c r="B2052" t="s">
        <v>44</v>
      </c>
    </row>
    <row r="2053" spans="2:2" x14ac:dyDescent="0.3">
      <c r="B2053" t="s">
        <v>1354</v>
      </c>
    </row>
    <row r="2054" spans="2:2" x14ac:dyDescent="0.3">
      <c r="B2054" t="s">
        <v>215</v>
      </c>
    </row>
    <row r="2055" spans="2:2" x14ac:dyDescent="0.3">
      <c r="B2055" t="s">
        <v>46</v>
      </c>
    </row>
    <row r="2056" spans="2:2" x14ac:dyDescent="0.3">
      <c r="B2056" t="s">
        <v>233</v>
      </c>
    </row>
    <row r="2057" spans="2:2" x14ac:dyDescent="0.3">
      <c r="B2057" t="s">
        <v>48</v>
      </c>
    </row>
    <row r="2058" spans="2:2" x14ac:dyDescent="0.3">
      <c r="B2058" t="s">
        <v>49</v>
      </c>
    </row>
    <row r="2059" spans="2:2" x14ac:dyDescent="0.3">
      <c r="B2059" t="s">
        <v>50</v>
      </c>
    </row>
    <row r="2060" spans="2:2" x14ac:dyDescent="0.3">
      <c r="B2060" t="s">
        <v>51</v>
      </c>
    </row>
    <row r="2061" spans="2:2" x14ac:dyDescent="0.3">
      <c r="B2061" t="s">
        <v>234</v>
      </c>
    </row>
    <row r="2062" spans="2:2" x14ac:dyDescent="0.3">
      <c r="B2062" t="s">
        <v>235</v>
      </c>
    </row>
    <row r="2063" spans="2:2" x14ac:dyDescent="0.3">
      <c r="B2063" t="s">
        <v>236</v>
      </c>
    </row>
    <row r="2064" spans="2:2" x14ac:dyDescent="0.3">
      <c r="B2064" t="s">
        <v>237</v>
      </c>
    </row>
    <row r="2065" spans="2:2" x14ac:dyDescent="0.3">
      <c r="B2065" t="s">
        <v>238</v>
      </c>
    </row>
    <row r="2066" spans="2:2" x14ac:dyDescent="0.3">
      <c r="B2066" t="s">
        <v>239</v>
      </c>
    </row>
    <row r="2067" spans="2:2" x14ac:dyDescent="0.3">
      <c r="B2067" t="s">
        <v>219</v>
      </c>
    </row>
    <row r="2068" spans="2:2" x14ac:dyDescent="0.3">
      <c r="B2068" t="s">
        <v>137</v>
      </c>
    </row>
    <row r="2069" spans="2:2" x14ac:dyDescent="0.3">
      <c r="B2069" t="s">
        <v>240</v>
      </c>
    </row>
    <row r="2070" spans="2:2" x14ac:dyDescent="0.3">
      <c r="B2070" t="s">
        <v>241</v>
      </c>
    </row>
    <row r="2071" spans="2:2" x14ac:dyDescent="0.3">
      <c r="B2071" t="s">
        <v>138</v>
      </c>
    </row>
    <row r="2072" spans="2:2" x14ac:dyDescent="0.3">
      <c r="B2072" t="s">
        <v>242</v>
      </c>
    </row>
    <row r="2073" spans="2:2" x14ac:dyDescent="0.3">
      <c r="B2073" t="s">
        <v>1263</v>
      </c>
    </row>
    <row r="2074" spans="2:2" x14ac:dyDescent="0.3">
      <c r="B2074" t="s">
        <v>42</v>
      </c>
    </row>
    <row r="2075" spans="2:2" x14ac:dyDescent="0.3">
      <c r="B2075" t="s">
        <v>243</v>
      </c>
    </row>
    <row r="2076" spans="2:2" x14ac:dyDescent="0.3">
      <c r="B2076" t="s">
        <v>44</v>
      </c>
    </row>
    <row r="2077" spans="2:2" x14ac:dyDescent="0.3">
      <c r="B2077" t="s">
        <v>1354</v>
      </c>
    </row>
    <row r="2078" spans="2:2" x14ac:dyDescent="0.3">
      <c r="B2078" t="s">
        <v>215</v>
      </c>
    </row>
    <row r="2079" spans="2:2" x14ac:dyDescent="0.3">
      <c r="B2079" t="s">
        <v>71</v>
      </c>
    </row>
    <row r="2080" spans="2:2" x14ac:dyDescent="0.3">
      <c r="B2080" t="s">
        <v>72</v>
      </c>
    </row>
    <row r="2081" spans="2:2" x14ac:dyDescent="0.3">
      <c r="B2081" t="s">
        <v>73</v>
      </c>
    </row>
    <row r="2082" spans="2:2" x14ac:dyDescent="0.3">
      <c r="B2082" t="s">
        <v>74</v>
      </c>
    </row>
    <row r="2083" spans="2:2" x14ac:dyDescent="0.3">
      <c r="B2083" t="s">
        <v>50</v>
      </c>
    </row>
    <row r="2084" spans="2:2" x14ac:dyDescent="0.3">
      <c r="B2084" t="s">
        <v>51</v>
      </c>
    </row>
    <row r="2085" spans="2:2" x14ac:dyDescent="0.3">
      <c r="B2085" t="s">
        <v>135</v>
      </c>
    </row>
    <row r="2086" spans="2:2" x14ac:dyDescent="0.3">
      <c r="B2086" t="s">
        <v>225</v>
      </c>
    </row>
    <row r="2087" spans="2:2" x14ac:dyDescent="0.3">
      <c r="B2087" t="s">
        <v>236</v>
      </c>
    </row>
    <row r="2088" spans="2:2" x14ac:dyDescent="0.3">
      <c r="B2088" t="s">
        <v>127</v>
      </c>
    </row>
    <row r="2089" spans="2:2" x14ac:dyDescent="0.3">
      <c r="B2089" t="s">
        <v>244</v>
      </c>
    </row>
    <row r="2090" spans="2:2" x14ac:dyDescent="0.3">
      <c r="B2090" t="s">
        <v>245</v>
      </c>
    </row>
    <row r="2091" spans="2:2" x14ac:dyDescent="0.3">
      <c r="B2091" t="s">
        <v>129</v>
      </c>
    </row>
    <row r="2092" spans="2:2" x14ac:dyDescent="0.3">
      <c r="B2092" t="s">
        <v>246</v>
      </c>
    </row>
    <row r="2093" spans="2:2" x14ac:dyDescent="0.3">
      <c r="B2093" t="s">
        <v>247</v>
      </c>
    </row>
    <row r="2094" spans="2:2" x14ac:dyDescent="0.3">
      <c r="B2094" t="s">
        <v>1263</v>
      </c>
    </row>
    <row r="2095" spans="2:2" x14ac:dyDescent="0.3">
      <c r="B2095" t="s">
        <v>42</v>
      </c>
    </row>
    <row r="2096" spans="2:2" x14ac:dyDescent="0.3">
      <c r="B2096" t="s">
        <v>248</v>
      </c>
    </row>
    <row r="2097" spans="2:2" x14ac:dyDescent="0.3">
      <c r="B2097" t="s">
        <v>44</v>
      </c>
    </row>
    <row r="2098" spans="2:2" x14ac:dyDescent="0.3">
      <c r="B2098" t="s">
        <v>1354</v>
      </c>
    </row>
    <row r="2099" spans="2:2" x14ac:dyDescent="0.3">
      <c r="B2099" t="s">
        <v>215</v>
      </c>
    </row>
    <row r="2100" spans="2:2" x14ac:dyDescent="0.3">
      <c r="B2100" t="s">
        <v>71</v>
      </c>
    </row>
    <row r="2101" spans="2:2" x14ac:dyDescent="0.3">
      <c r="B2101" t="s">
        <v>72</v>
      </c>
    </row>
    <row r="2102" spans="2:2" x14ac:dyDescent="0.3">
      <c r="B2102" t="s">
        <v>73</v>
      </c>
    </row>
    <row r="2103" spans="2:2" x14ac:dyDescent="0.3">
      <c r="B2103" t="s">
        <v>74</v>
      </c>
    </row>
    <row r="2104" spans="2:2" x14ac:dyDescent="0.3">
      <c r="B2104" t="s">
        <v>50</v>
      </c>
    </row>
    <row r="2105" spans="2:2" x14ac:dyDescent="0.3">
      <c r="B2105" t="s">
        <v>51</v>
      </c>
    </row>
    <row r="2106" spans="2:2" x14ac:dyDescent="0.3">
      <c r="B2106" t="s">
        <v>135</v>
      </c>
    </row>
    <row r="2107" spans="2:2" x14ac:dyDescent="0.3">
      <c r="B2107" t="s">
        <v>225</v>
      </c>
    </row>
    <row r="2108" spans="2:2" x14ac:dyDescent="0.3">
      <c r="B2108" t="s">
        <v>236</v>
      </c>
    </row>
    <row r="2109" spans="2:2" x14ac:dyDescent="0.3">
      <c r="B2109" t="s">
        <v>136</v>
      </c>
    </row>
    <row r="2110" spans="2:2" x14ac:dyDescent="0.3">
      <c r="B2110" t="s">
        <v>244</v>
      </c>
    </row>
    <row r="2111" spans="2:2" x14ac:dyDescent="0.3">
      <c r="B2111" t="s">
        <v>249</v>
      </c>
    </row>
    <row r="2112" spans="2:2" x14ac:dyDescent="0.3">
      <c r="B2112" t="s">
        <v>250</v>
      </c>
    </row>
    <row r="2113" spans="2:2" x14ac:dyDescent="0.3">
      <c r="B2113" t="s">
        <v>251</v>
      </c>
    </row>
    <row r="2114" spans="2:2" x14ac:dyDescent="0.3">
      <c r="B2114" t="s">
        <v>252</v>
      </c>
    </row>
    <row r="2115" spans="2:2" x14ac:dyDescent="0.3">
      <c r="B2115" t="s">
        <v>253</v>
      </c>
    </row>
    <row r="2116" spans="2:2" x14ac:dyDescent="0.3">
      <c r="B2116" t="s">
        <v>254</v>
      </c>
    </row>
    <row r="2117" spans="2:2" x14ac:dyDescent="0.3">
      <c r="B2117" t="s">
        <v>242</v>
      </c>
    </row>
    <row r="2118" spans="2:2" x14ac:dyDescent="0.3">
      <c r="B2118" t="s">
        <v>1263</v>
      </c>
    </row>
    <row r="2119" spans="2:2" x14ac:dyDescent="0.3">
      <c r="B2119" t="s">
        <v>42</v>
      </c>
    </row>
    <row r="2120" spans="2:2" x14ac:dyDescent="0.3">
      <c r="B2120" t="s">
        <v>255</v>
      </c>
    </row>
    <row r="2121" spans="2:2" x14ac:dyDescent="0.3">
      <c r="B2121" t="s">
        <v>44</v>
      </c>
    </row>
    <row r="2122" spans="2:2" x14ac:dyDescent="0.3">
      <c r="B2122" t="s">
        <v>1354</v>
      </c>
    </row>
    <row r="2123" spans="2:2" x14ac:dyDescent="0.3">
      <c r="B2123" t="s">
        <v>215</v>
      </c>
    </row>
    <row r="2124" spans="2:2" x14ac:dyDescent="0.3">
      <c r="B2124" t="s">
        <v>71</v>
      </c>
    </row>
    <row r="2125" spans="2:2" x14ac:dyDescent="0.3">
      <c r="B2125" t="s">
        <v>72</v>
      </c>
    </row>
    <row r="2126" spans="2:2" x14ac:dyDescent="0.3">
      <c r="B2126" t="s">
        <v>73</v>
      </c>
    </row>
    <row r="2127" spans="2:2" x14ac:dyDescent="0.3">
      <c r="B2127" t="s">
        <v>74</v>
      </c>
    </row>
    <row r="2128" spans="2:2" x14ac:dyDescent="0.3">
      <c r="B2128" t="s">
        <v>50</v>
      </c>
    </row>
    <row r="2129" spans="2:2" x14ac:dyDescent="0.3">
      <c r="B2129" t="s">
        <v>51</v>
      </c>
    </row>
    <row r="2130" spans="2:2" x14ac:dyDescent="0.3">
      <c r="B2130" t="s">
        <v>256</v>
      </c>
    </row>
    <row r="2131" spans="2:2" x14ac:dyDescent="0.3">
      <c r="B2131" t="s">
        <v>140</v>
      </c>
    </row>
    <row r="2132" spans="2:2" x14ac:dyDescent="0.3">
      <c r="B2132" t="s">
        <v>236</v>
      </c>
    </row>
    <row r="2133" spans="2:2" x14ac:dyDescent="0.3">
      <c r="B2133" t="s">
        <v>257</v>
      </c>
    </row>
    <row r="2134" spans="2:2" x14ac:dyDescent="0.3">
      <c r="B2134" t="s">
        <v>141</v>
      </c>
    </row>
    <row r="2135" spans="2:2" x14ac:dyDescent="0.3">
      <c r="B2135" t="s">
        <v>258</v>
      </c>
    </row>
    <row r="2136" spans="2:2" x14ac:dyDescent="0.3">
      <c r="B2136" t="s">
        <v>142</v>
      </c>
    </row>
    <row r="2137" spans="2:2" x14ac:dyDescent="0.3">
      <c r="B2137" t="s">
        <v>137</v>
      </c>
    </row>
    <row r="2138" spans="2:2" x14ac:dyDescent="0.3">
      <c r="B2138" t="s">
        <v>259</v>
      </c>
    </row>
    <row r="2139" spans="2:2" x14ac:dyDescent="0.3">
      <c r="B2139" t="s">
        <v>1263</v>
      </c>
    </row>
    <row r="2140" spans="2:2" x14ac:dyDescent="0.3">
      <c r="B2140" t="s">
        <v>42</v>
      </c>
    </row>
    <row r="2141" spans="2:2" x14ac:dyDescent="0.3">
      <c r="B2141" t="s">
        <v>260</v>
      </c>
    </row>
    <row r="2142" spans="2:2" x14ac:dyDescent="0.3">
      <c r="B2142" t="s">
        <v>213</v>
      </c>
    </row>
    <row r="2143" spans="2:2" x14ac:dyDescent="0.3">
      <c r="B2143" t="s">
        <v>1355</v>
      </c>
    </row>
    <row r="2144" spans="2:2" x14ac:dyDescent="0.3">
      <c r="B2144" t="s">
        <v>215</v>
      </c>
    </row>
    <row r="2145" spans="2:2" x14ac:dyDescent="0.3">
      <c r="B2145" t="s">
        <v>71</v>
      </c>
    </row>
    <row r="2146" spans="2:2" x14ac:dyDescent="0.3">
      <c r="B2146" t="s">
        <v>72</v>
      </c>
    </row>
    <row r="2147" spans="2:2" x14ac:dyDescent="0.3">
      <c r="B2147" t="s">
        <v>73</v>
      </c>
    </row>
    <row r="2148" spans="2:2" x14ac:dyDescent="0.3">
      <c r="B2148" t="s">
        <v>74</v>
      </c>
    </row>
    <row r="2149" spans="2:2" x14ac:dyDescent="0.3">
      <c r="B2149" t="s">
        <v>50</v>
      </c>
    </row>
    <row r="2150" spans="2:2" x14ac:dyDescent="0.3">
      <c r="B2150" t="s">
        <v>51</v>
      </c>
    </row>
    <row r="2151" spans="2:2" x14ac:dyDescent="0.3">
      <c r="B2151" t="s">
        <v>256</v>
      </c>
    </row>
    <row r="2152" spans="2:2" x14ac:dyDescent="0.3">
      <c r="B2152" t="s">
        <v>140</v>
      </c>
    </row>
    <row r="2153" spans="2:2" x14ac:dyDescent="0.3">
      <c r="B2153" t="s">
        <v>236</v>
      </c>
    </row>
    <row r="2154" spans="2:2" x14ac:dyDescent="0.3">
      <c r="B2154" t="s">
        <v>127</v>
      </c>
    </row>
    <row r="2155" spans="2:2" x14ac:dyDescent="0.3">
      <c r="B2155" t="s">
        <v>141</v>
      </c>
    </row>
    <row r="2156" spans="2:2" x14ac:dyDescent="0.3">
      <c r="B2156" t="s">
        <v>261</v>
      </c>
    </row>
    <row r="2157" spans="2:2" x14ac:dyDescent="0.3">
      <c r="B2157" t="s">
        <v>142</v>
      </c>
    </row>
    <row r="2158" spans="2:2" x14ac:dyDescent="0.3">
      <c r="B2158" t="s">
        <v>246</v>
      </c>
    </row>
    <row r="2159" spans="2:2" x14ac:dyDescent="0.3">
      <c r="B2159" t="s">
        <v>262</v>
      </c>
    </row>
    <row r="2160" spans="2:2" x14ac:dyDescent="0.3">
      <c r="B2160" t="s">
        <v>131</v>
      </c>
    </row>
    <row r="2161" spans="2:2" x14ac:dyDescent="0.3">
      <c r="B2161" t="s">
        <v>230</v>
      </c>
    </row>
    <row r="2162" spans="2:2" x14ac:dyDescent="0.3">
      <c r="B2162" t="s">
        <v>242</v>
      </c>
    </row>
    <row r="2163" spans="2:2" x14ac:dyDescent="0.3">
      <c r="B2163" t="s">
        <v>1263</v>
      </c>
    </row>
    <row r="2164" spans="2:2" x14ac:dyDescent="0.3">
      <c r="B2164" t="s">
        <v>42</v>
      </c>
    </row>
    <row r="2165" spans="2:2" x14ac:dyDescent="0.3">
      <c r="B2165" t="s">
        <v>263</v>
      </c>
    </row>
    <row r="2166" spans="2:2" x14ac:dyDescent="0.3">
      <c r="B2166" t="s">
        <v>104</v>
      </c>
    </row>
    <row r="2167" spans="2:2" x14ac:dyDescent="0.3">
      <c r="B2167" t="s">
        <v>1353</v>
      </c>
    </row>
    <row r="2168" spans="2:2" x14ac:dyDescent="0.3">
      <c r="B2168" t="s">
        <v>264</v>
      </c>
    </row>
    <row r="2169" spans="2:2" x14ac:dyDescent="0.3">
      <c r="B2169" t="s">
        <v>46</v>
      </c>
    </row>
    <row r="2170" spans="2:2" x14ac:dyDescent="0.3">
      <c r="B2170" t="s">
        <v>265</v>
      </c>
    </row>
    <row r="2171" spans="2:2" x14ac:dyDescent="0.3">
      <c r="B2171" t="s">
        <v>48</v>
      </c>
    </row>
    <row r="2172" spans="2:2" x14ac:dyDescent="0.3">
      <c r="B2172" t="s">
        <v>49</v>
      </c>
    </row>
    <row r="2173" spans="2:2" x14ac:dyDescent="0.3">
      <c r="B2173" t="s">
        <v>50</v>
      </c>
    </row>
    <row r="2174" spans="2:2" x14ac:dyDescent="0.3">
      <c r="B2174" t="s">
        <v>51</v>
      </c>
    </row>
    <row r="2175" spans="2:2" x14ac:dyDescent="0.3">
      <c r="B2175" t="s">
        <v>266</v>
      </c>
    </row>
    <row r="2176" spans="2:2" x14ac:dyDescent="0.3">
      <c r="B2176" t="s">
        <v>80</v>
      </c>
    </row>
    <row r="2177" spans="2:2" x14ac:dyDescent="0.3">
      <c r="B2177" t="s">
        <v>267</v>
      </c>
    </row>
    <row r="2178" spans="2:2" x14ac:dyDescent="0.3">
      <c r="B2178" t="s">
        <v>268</v>
      </c>
    </row>
    <row r="2179" spans="2:2" x14ac:dyDescent="0.3">
      <c r="B2179" t="s">
        <v>269</v>
      </c>
    </row>
    <row r="2180" spans="2:2" x14ac:dyDescent="0.3">
      <c r="B2180" t="s">
        <v>270</v>
      </c>
    </row>
    <row r="2181" spans="2:2" x14ac:dyDescent="0.3">
      <c r="B2181" t="s">
        <v>271</v>
      </c>
    </row>
    <row r="2182" spans="2:2" x14ac:dyDescent="0.3">
      <c r="B2182" t="s">
        <v>272</v>
      </c>
    </row>
    <row r="2183" spans="2:2" x14ac:dyDescent="0.3">
      <c r="B2183" t="s">
        <v>273</v>
      </c>
    </row>
    <row r="2184" spans="2:2" x14ac:dyDescent="0.3">
      <c r="B2184" t="s">
        <v>131</v>
      </c>
    </row>
    <row r="2185" spans="2:2" x14ac:dyDescent="0.3">
      <c r="B2185" t="s">
        <v>69</v>
      </c>
    </row>
    <row r="2186" spans="2:2" x14ac:dyDescent="0.3">
      <c r="B2186" t="s">
        <v>274</v>
      </c>
    </row>
    <row r="2187" spans="2:2" x14ac:dyDescent="0.3">
      <c r="B2187" t="s">
        <v>1263</v>
      </c>
    </row>
    <row r="2188" spans="2:2" x14ac:dyDescent="0.3">
      <c r="B2188" t="s">
        <v>42</v>
      </c>
    </row>
    <row r="2189" spans="2:2" x14ac:dyDescent="0.3">
      <c r="B2189" t="s">
        <v>275</v>
      </c>
    </row>
    <row r="2190" spans="2:2" x14ac:dyDescent="0.3">
      <c r="B2190" t="s">
        <v>44</v>
      </c>
    </row>
    <row r="2191" spans="2:2" x14ac:dyDescent="0.3">
      <c r="B2191" t="s">
        <v>1354</v>
      </c>
    </row>
    <row r="2192" spans="2:2" x14ac:dyDescent="0.3">
      <c r="B2192" t="s">
        <v>264</v>
      </c>
    </row>
    <row r="2193" spans="2:2" x14ac:dyDescent="0.3">
      <c r="B2193" t="s">
        <v>46</v>
      </c>
    </row>
    <row r="2194" spans="2:2" x14ac:dyDescent="0.3">
      <c r="B2194" t="s">
        <v>276</v>
      </c>
    </row>
    <row r="2195" spans="2:2" x14ac:dyDescent="0.3">
      <c r="B2195" t="s">
        <v>48</v>
      </c>
    </row>
    <row r="2196" spans="2:2" x14ac:dyDescent="0.3">
      <c r="B2196" t="s">
        <v>49</v>
      </c>
    </row>
    <row r="2197" spans="2:2" x14ac:dyDescent="0.3">
      <c r="B2197" t="s">
        <v>50</v>
      </c>
    </row>
    <row r="2198" spans="2:2" x14ac:dyDescent="0.3">
      <c r="B2198" t="s">
        <v>51</v>
      </c>
    </row>
    <row r="2199" spans="2:2" x14ac:dyDescent="0.3">
      <c r="B2199" t="s">
        <v>135</v>
      </c>
    </row>
    <row r="2200" spans="2:2" x14ac:dyDescent="0.3">
      <c r="B2200" t="s">
        <v>80</v>
      </c>
    </row>
    <row r="2201" spans="2:2" x14ac:dyDescent="0.3">
      <c r="B2201" t="s">
        <v>206</v>
      </c>
    </row>
    <row r="2202" spans="2:2" x14ac:dyDescent="0.3">
      <c r="B2202" t="s">
        <v>136</v>
      </c>
    </row>
    <row r="2203" spans="2:2" x14ac:dyDescent="0.3">
      <c r="B2203" t="s">
        <v>81</v>
      </c>
    </row>
    <row r="2204" spans="2:2" x14ac:dyDescent="0.3">
      <c r="B2204" t="s">
        <v>277</v>
      </c>
    </row>
    <row r="2205" spans="2:2" x14ac:dyDescent="0.3">
      <c r="B2205" t="s">
        <v>271</v>
      </c>
    </row>
    <row r="2206" spans="2:2" x14ac:dyDescent="0.3">
      <c r="B2206" t="s">
        <v>272</v>
      </c>
    </row>
    <row r="2207" spans="2:2" x14ac:dyDescent="0.3">
      <c r="B2207" t="s">
        <v>273</v>
      </c>
    </row>
    <row r="2208" spans="2:2" x14ac:dyDescent="0.3">
      <c r="B2208" t="s">
        <v>278</v>
      </c>
    </row>
    <row r="2209" spans="2:2" x14ac:dyDescent="0.3">
      <c r="B2209" t="s">
        <v>279</v>
      </c>
    </row>
    <row r="2210" spans="2:2" x14ac:dyDescent="0.3">
      <c r="B2210" t="s">
        <v>207</v>
      </c>
    </row>
    <row r="2211" spans="2:2" x14ac:dyDescent="0.3">
      <c r="B2211" t="s">
        <v>1263</v>
      </c>
    </row>
    <row r="2212" spans="2:2" x14ac:dyDescent="0.3">
      <c r="B2212" t="s">
        <v>42</v>
      </c>
    </row>
    <row r="2213" spans="2:2" x14ac:dyDescent="0.3">
      <c r="B2213" t="s">
        <v>280</v>
      </c>
    </row>
    <row r="2214" spans="2:2" x14ac:dyDescent="0.3">
      <c r="B2214" t="s">
        <v>44</v>
      </c>
    </row>
    <row r="2215" spans="2:2" x14ac:dyDescent="0.3">
      <c r="B2215" t="s">
        <v>1354</v>
      </c>
    </row>
    <row r="2216" spans="2:2" x14ac:dyDescent="0.3">
      <c r="B2216" t="s">
        <v>264</v>
      </c>
    </row>
    <row r="2217" spans="2:2" x14ac:dyDescent="0.3">
      <c r="B2217" t="s">
        <v>46</v>
      </c>
    </row>
    <row r="2218" spans="2:2" x14ac:dyDescent="0.3">
      <c r="B2218" t="s">
        <v>281</v>
      </c>
    </row>
    <row r="2219" spans="2:2" x14ac:dyDescent="0.3">
      <c r="B2219" t="s">
        <v>48</v>
      </c>
    </row>
    <row r="2220" spans="2:2" x14ac:dyDescent="0.3">
      <c r="B2220" t="s">
        <v>49</v>
      </c>
    </row>
    <row r="2221" spans="2:2" x14ac:dyDescent="0.3">
      <c r="B2221" t="s">
        <v>50</v>
      </c>
    </row>
    <row r="2222" spans="2:2" x14ac:dyDescent="0.3">
      <c r="B2222" t="s">
        <v>51</v>
      </c>
    </row>
    <row r="2223" spans="2:2" x14ac:dyDescent="0.3">
      <c r="B2223" t="s">
        <v>266</v>
      </c>
    </row>
    <row r="2224" spans="2:2" x14ac:dyDescent="0.3">
      <c r="B2224" t="s">
        <v>53</v>
      </c>
    </row>
    <row r="2225" spans="2:2" x14ac:dyDescent="0.3">
      <c r="B2225" t="s">
        <v>236</v>
      </c>
    </row>
    <row r="2226" spans="2:2" x14ac:dyDescent="0.3">
      <c r="B2226" t="s">
        <v>268</v>
      </c>
    </row>
    <row r="2227" spans="2:2" x14ac:dyDescent="0.3">
      <c r="B2227" t="s">
        <v>56</v>
      </c>
    </row>
    <row r="2228" spans="2:2" x14ac:dyDescent="0.3">
      <c r="B2228" t="s">
        <v>57</v>
      </c>
    </row>
    <row r="2229" spans="2:2" x14ac:dyDescent="0.3">
      <c r="B2229" t="s">
        <v>282</v>
      </c>
    </row>
    <row r="2230" spans="2:2" x14ac:dyDescent="0.3">
      <c r="B2230" t="s">
        <v>68</v>
      </c>
    </row>
    <row r="2231" spans="2:2" x14ac:dyDescent="0.3">
      <c r="B2231" t="s">
        <v>273</v>
      </c>
    </row>
    <row r="2232" spans="2:2" x14ac:dyDescent="0.3">
      <c r="B2232" t="s">
        <v>283</v>
      </c>
    </row>
    <row r="2233" spans="2:2" x14ac:dyDescent="0.3">
      <c r="B2233" t="s">
        <v>69</v>
      </c>
    </row>
    <row r="2234" spans="2:2" x14ac:dyDescent="0.3">
      <c r="B2234" t="s">
        <v>242</v>
      </c>
    </row>
    <row r="2235" spans="2:2" x14ac:dyDescent="0.3">
      <c r="B2235" t="s">
        <v>1263</v>
      </c>
    </row>
    <row r="2236" spans="2:2" x14ac:dyDescent="0.3">
      <c r="B2236" t="s">
        <v>42</v>
      </c>
    </row>
    <row r="2237" spans="2:2" x14ac:dyDescent="0.3">
      <c r="B2237" t="s">
        <v>284</v>
      </c>
    </row>
    <row r="2238" spans="2:2" x14ac:dyDescent="0.3">
      <c r="B2238" t="s">
        <v>44</v>
      </c>
    </row>
    <row r="2239" spans="2:2" x14ac:dyDescent="0.3">
      <c r="B2239" t="s">
        <v>1354</v>
      </c>
    </row>
    <row r="2240" spans="2:2" x14ac:dyDescent="0.3">
      <c r="B2240" t="s">
        <v>264</v>
      </c>
    </row>
    <row r="2241" spans="2:2" x14ac:dyDescent="0.3">
      <c r="B2241" t="s">
        <v>71</v>
      </c>
    </row>
    <row r="2242" spans="2:2" x14ac:dyDescent="0.3">
      <c r="B2242" t="s">
        <v>72</v>
      </c>
    </row>
    <row r="2243" spans="2:2" x14ac:dyDescent="0.3">
      <c r="B2243" t="s">
        <v>73</v>
      </c>
    </row>
    <row r="2244" spans="2:2" x14ac:dyDescent="0.3">
      <c r="B2244" t="s">
        <v>74</v>
      </c>
    </row>
    <row r="2245" spans="2:2" x14ac:dyDescent="0.3">
      <c r="B2245" t="s">
        <v>50</v>
      </c>
    </row>
    <row r="2246" spans="2:2" x14ac:dyDescent="0.3">
      <c r="B2246" t="s">
        <v>51</v>
      </c>
    </row>
    <row r="2247" spans="2:2" x14ac:dyDescent="0.3">
      <c r="B2247" t="s">
        <v>266</v>
      </c>
    </row>
    <row r="2248" spans="2:2" x14ac:dyDescent="0.3">
      <c r="B2248" t="s">
        <v>285</v>
      </c>
    </row>
    <row r="2249" spans="2:2" x14ac:dyDescent="0.3">
      <c r="B2249" t="s">
        <v>236</v>
      </c>
    </row>
    <row r="2250" spans="2:2" x14ac:dyDescent="0.3">
      <c r="B2250" t="s">
        <v>268</v>
      </c>
    </row>
    <row r="2251" spans="2:2" x14ac:dyDescent="0.3">
      <c r="B2251" t="s">
        <v>269</v>
      </c>
    </row>
    <row r="2252" spans="2:2" x14ac:dyDescent="0.3">
      <c r="B2252" t="s">
        <v>57</v>
      </c>
    </row>
    <row r="2253" spans="2:2" x14ac:dyDescent="0.3">
      <c r="B2253" t="s">
        <v>282</v>
      </c>
    </row>
    <row r="2254" spans="2:2" x14ac:dyDescent="0.3">
      <c r="B2254" t="s">
        <v>77</v>
      </c>
    </row>
    <row r="2255" spans="2:2" x14ac:dyDescent="0.3">
      <c r="B2255" t="s">
        <v>60</v>
      </c>
    </row>
    <row r="2256" spans="2:2" x14ac:dyDescent="0.3">
      <c r="B2256" t="s">
        <v>283</v>
      </c>
    </row>
    <row r="2257" spans="2:2" x14ac:dyDescent="0.3">
      <c r="B2257" t="s">
        <v>78</v>
      </c>
    </row>
    <row r="2258" spans="2:2" x14ac:dyDescent="0.3">
      <c r="B2258" t="s">
        <v>242</v>
      </c>
    </row>
    <row r="2259" spans="2:2" x14ac:dyDescent="0.3">
      <c r="B2259" t="s">
        <v>1263</v>
      </c>
    </row>
    <row r="2260" spans="2:2" x14ac:dyDescent="0.3">
      <c r="B2260" t="s">
        <v>42</v>
      </c>
    </row>
    <row r="2261" spans="2:2" x14ac:dyDescent="0.3">
      <c r="B2261" t="s">
        <v>286</v>
      </c>
    </row>
    <row r="2262" spans="2:2" x14ac:dyDescent="0.3">
      <c r="B2262" t="s">
        <v>44</v>
      </c>
    </row>
    <row r="2263" spans="2:2" x14ac:dyDescent="0.3">
      <c r="B2263" t="s">
        <v>1354</v>
      </c>
    </row>
    <row r="2264" spans="2:2" x14ac:dyDescent="0.3">
      <c r="B2264" t="s">
        <v>264</v>
      </c>
    </row>
    <row r="2265" spans="2:2" x14ac:dyDescent="0.3">
      <c r="B2265" t="s">
        <v>71</v>
      </c>
    </row>
    <row r="2266" spans="2:2" x14ac:dyDescent="0.3">
      <c r="B2266" t="s">
        <v>72</v>
      </c>
    </row>
    <row r="2267" spans="2:2" x14ac:dyDescent="0.3">
      <c r="B2267" t="s">
        <v>73</v>
      </c>
    </row>
    <row r="2268" spans="2:2" x14ac:dyDescent="0.3">
      <c r="B2268" t="s">
        <v>74</v>
      </c>
    </row>
    <row r="2269" spans="2:2" x14ac:dyDescent="0.3">
      <c r="B2269" t="s">
        <v>50</v>
      </c>
    </row>
    <row r="2270" spans="2:2" x14ac:dyDescent="0.3">
      <c r="B2270" t="s">
        <v>51</v>
      </c>
    </row>
    <row r="2271" spans="2:2" x14ac:dyDescent="0.3">
      <c r="B2271" t="s">
        <v>135</v>
      </c>
    </row>
    <row r="2272" spans="2:2" x14ac:dyDescent="0.3">
      <c r="B2272" t="s">
        <v>80</v>
      </c>
    </row>
    <row r="2273" spans="2:2" x14ac:dyDescent="0.3">
      <c r="B2273" t="s">
        <v>206</v>
      </c>
    </row>
    <row r="2274" spans="2:2" x14ac:dyDescent="0.3">
      <c r="B2274" t="s">
        <v>268</v>
      </c>
    </row>
    <row r="2275" spans="2:2" x14ac:dyDescent="0.3">
      <c r="B2275" t="s">
        <v>81</v>
      </c>
    </row>
    <row r="2276" spans="2:2" x14ac:dyDescent="0.3">
      <c r="B2276" t="s">
        <v>287</v>
      </c>
    </row>
    <row r="2277" spans="2:2" x14ac:dyDescent="0.3">
      <c r="B2277" t="s">
        <v>282</v>
      </c>
    </row>
    <row r="2278" spans="2:2" x14ac:dyDescent="0.3">
      <c r="B2278" t="s">
        <v>68</v>
      </c>
    </row>
    <row r="2279" spans="2:2" x14ac:dyDescent="0.3">
      <c r="B2279" t="s">
        <v>273</v>
      </c>
    </row>
    <row r="2280" spans="2:2" x14ac:dyDescent="0.3">
      <c r="B2280" t="s">
        <v>131</v>
      </c>
    </row>
    <row r="2281" spans="2:2" x14ac:dyDescent="0.3">
      <c r="B2281" t="s">
        <v>69</v>
      </c>
    </row>
    <row r="2282" spans="2:2" x14ac:dyDescent="0.3">
      <c r="B2282" t="s">
        <v>274</v>
      </c>
    </row>
    <row r="2283" spans="2:2" x14ac:dyDescent="0.3">
      <c r="B2283" t="s">
        <v>1263</v>
      </c>
    </row>
    <row r="2284" spans="2:2" x14ac:dyDescent="0.3">
      <c r="B2284" t="s">
        <v>42</v>
      </c>
    </row>
    <row r="2285" spans="2:2" x14ac:dyDescent="0.3">
      <c r="B2285" t="s">
        <v>288</v>
      </c>
    </row>
    <row r="2286" spans="2:2" x14ac:dyDescent="0.3">
      <c r="B2286" t="s">
        <v>44</v>
      </c>
    </row>
    <row r="2287" spans="2:2" x14ac:dyDescent="0.3">
      <c r="B2287" t="s">
        <v>1354</v>
      </c>
    </row>
    <row r="2288" spans="2:2" x14ac:dyDescent="0.3">
      <c r="B2288" t="s">
        <v>264</v>
      </c>
    </row>
    <row r="2289" spans="2:2" x14ac:dyDescent="0.3">
      <c r="B2289" t="s">
        <v>71</v>
      </c>
    </row>
    <row r="2290" spans="2:2" x14ac:dyDescent="0.3">
      <c r="B2290" t="s">
        <v>72</v>
      </c>
    </row>
    <row r="2291" spans="2:2" x14ac:dyDescent="0.3">
      <c r="B2291" t="s">
        <v>73</v>
      </c>
    </row>
    <row r="2292" spans="2:2" x14ac:dyDescent="0.3">
      <c r="B2292" t="s">
        <v>74</v>
      </c>
    </row>
    <row r="2293" spans="2:2" x14ac:dyDescent="0.3">
      <c r="B2293" t="s">
        <v>50</v>
      </c>
    </row>
    <row r="2294" spans="2:2" x14ac:dyDescent="0.3">
      <c r="B2294" t="s">
        <v>51</v>
      </c>
    </row>
    <row r="2295" spans="2:2" x14ac:dyDescent="0.3">
      <c r="B2295" t="s">
        <v>289</v>
      </c>
    </row>
    <row r="2296" spans="2:2" x14ac:dyDescent="0.3">
      <c r="B2296" t="s">
        <v>290</v>
      </c>
    </row>
    <row r="2297" spans="2:2" x14ac:dyDescent="0.3">
      <c r="B2297" t="s">
        <v>206</v>
      </c>
    </row>
    <row r="2298" spans="2:2" x14ac:dyDescent="0.3">
      <c r="B2298" t="s">
        <v>291</v>
      </c>
    </row>
    <row r="2299" spans="2:2" x14ac:dyDescent="0.3">
      <c r="B2299" t="s">
        <v>292</v>
      </c>
    </row>
    <row r="2300" spans="2:2" x14ac:dyDescent="0.3">
      <c r="B2300" t="s">
        <v>203</v>
      </c>
    </row>
    <row r="2301" spans="2:2" x14ac:dyDescent="0.3">
      <c r="B2301" t="s">
        <v>282</v>
      </c>
    </row>
    <row r="2302" spans="2:2" x14ac:dyDescent="0.3">
      <c r="B2302" t="s">
        <v>293</v>
      </c>
    </row>
    <row r="2303" spans="2:2" x14ac:dyDescent="0.3">
      <c r="B2303" t="s">
        <v>60</v>
      </c>
    </row>
    <row r="2304" spans="2:2" x14ac:dyDescent="0.3">
      <c r="B2304" t="s">
        <v>283</v>
      </c>
    </row>
    <row r="2305" spans="2:2" x14ac:dyDescent="0.3">
      <c r="B2305" t="s">
        <v>294</v>
      </c>
    </row>
    <row r="2306" spans="2:2" x14ac:dyDescent="0.3">
      <c r="B2306" t="s">
        <v>242</v>
      </c>
    </row>
    <row r="2307" spans="2:2" x14ac:dyDescent="0.3">
      <c r="B2307" t="s">
        <v>1263</v>
      </c>
    </row>
    <row r="2308" spans="2:2" x14ac:dyDescent="0.3">
      <c r="B2308" t="s">
        <v>42</v>
      </c>
    </row>
    <row r="2309" spans="2:2" x14ac:dyDescent="0.3">
      <c r="B2309" t="s">
        <v>295</v>
      </c>
    </row>
    <row r="2310" spans="2:2" x14ac:dyDescent="0.3">
      <c r="B2310" t="s">
        <v>213</v>
      </c>
    </row>
    <row r="2311" spans="2:2" x14ac:dyDescent="0.3">
      <c r="B2311" t="s">
        <v>1355</v>
      </c>
    </row>
    <row r="2312" spans="2:2" x14ac:dyDescent="0.3">
      <c r="B2312" t="s">
        <v>264</v>
      </c>
    </row>
    <row r="2313" spans="2:2" x14ac:dyDescent="0.3">
      <c r="B2313" t="s">
        <v>71</v>
      </c>
    </row>
    <row r="2314" spans="2:2" x14ac:dyDescent="0.3">
      <c r="B2314" t="s">
        <v>72</v>
      </c>
    </row>
    <row r="2315" spans="2:2" x14ac:dyDescent="0.3">
      <c r="B2315" t="s">
        <v>73</v>
      </c>
    </row>
    <row r="2316" spans="2:2" x14ac:dyDescent="0.3">
      <c r="B2316" t="s">
        <v>74</v>
      </c>
    </row>
    <row r="2317" spans="2:2" x14ac:dyDescent="0.3">
      <c r="B2317" t="s">
        <v>50</v>
      </c>
    </row>
    <row r="2318" spans="2:2" x14ac:dyDescent="0.3">
      <c r="B2318" t="s">
        <v>51</v>
      </c>
    </row>
    <row r="2319" spans="2:2" x14ac:dyDescent="0.3">
      <c r="B2319" t="s">
        <v>289</v>
      </c>
    </row>
    <row r="2320" spans="2:2" x14ac:dyDescent="0.3">
      <c r="B2320" t="s">
        <v>290</v>
      </c>
    </row>
    <row r="2321" spans="2:2" x14ac:dyDescent="0.3">
      <c r="B2321" t="s">
        <v>206</v>
      </c>
    </row>
    <row r="2322" spans="2:2" x14ac:dyDescent="0.3">
      <c r="B2322" t="s">
        <v>268</v>
      </c>
    </row>
    <row r="2323" spans="2:2" x14ac:dyDescent="0.3">
      <c r="B2323" t="s">
        <v>296</v>
      </c>
    </row>
    <row r="2324" spans="2:2" x14ac:dyDescent="0.3">
      <c r="B2324" t="s">
        <v>287</v>
      </c>
    </row>
    <row r="2325" spans="2:2" x14ac:dyDescent="0.3">
      <c r="B2325" t="s">
        <v>282</v>
      </c>
    </row>
    <row r="2326" spans="2:2" x14ac:dyDescent="0.3">
      <c r="B2326" t="s">
        <v>68</v>
      </c>
    </row>
    <row r="2327" spans="2:2" x14ac:dyDescent="0.3">
      <c r="B2327" t="s">
        <v>297</v>
      </c>
    </row>
    <row r="2328" spans="2:2" x14ac:dyDescent="0.3">
      <c r="B2328" t="s">
        <v>131</v>
      </c>
    </row>
    <row r="2329" spans="2:2" x14ac:dyDescent="0.3">
      <c r="B2329" t="s">
        <v>69</v>
      </c>
    </row>
    <row r="2330" spans="2:2" x14ac:dyDescent="0.3">
      <c r="B2330" t="s">
        <v>207</v>
      </c>
    </row>
    <row r="2333" spans="2:2" x14ac:dyDescent="0.3">
      <c r="B2333" t="s">
        <v>298</v>
      </c>
    </row>
    <row r="2335" spans="2:2" x14ac:dyDescent="0.3">
      <c r="B2335" t="s">
        <v>797</v>
      </c>
    </row>
    <row r="2336" spans="2:2" x14ac:dyDescent="0.3">
      <c r="B2336" t="s">
        <v>798</v>
      </c>
    </row>
    <row r="2337" spans="2:2" x14ac:dyDescent="0.3">
      <c r="B2337" t="s">
        <v>799</v>
      </c>
    </row>
    <row r="2338" spans="2:2" x14ac:dyDescent="0.3">
      <c r="B2338" t="s">
        <v>800</v>
      </c>
    </row>
    <row r="2339" spans="2:2" x14ac:dyDescent="0.3">
      <c r="B2339" t="s">
        <v>801</v>
      </c>
    </row>
    <row r="2340" spans="2:2" x14ac:dyDescent="0.3">
      <c r="B2340" t="s">
        <v>802</v>
      </c>
    </row>
    <row r="2341" spans="2:2" x14ac:dyDescent="0.3">
      <c r="B2341" t="s">
        <v>50</v>
      </c>
    </row>
    <row r="2342" spans="2:2" x14ac:dyDescent="0.3">
      <c r="B2342" t="s">
        <v>803</v>
      </c>
    </row>
    <row r="2343" spans="2:2" x14ac:dyDescent="0.3">
      <c r="B2343" t="s">
        <v>804</v>
      </c>
    </row>
    <row r="2344" spans="2:2" x14ac:dyDescent="0.3">
      <c r="B2344" t="s">
        <v>51</v>
      </c>
    </row>
    <row r="2345" spans="2:2" x14ac:dyDescent="0.3">
      <c r="B2345" t="s">
        <v>52</v>
      </c>
    </row>
    <row r="2346" spans="2:2" x14ac:dyDescent="0.3">
      <c r="B2346" t="s">
        <v>805</v>
      </c>
    </row>
    <row r="2347" spans="2:2" x14ac:dyDescent="0.3">
      <c r="B2347" t="s">
        <v>806</v>
      </c>
    </row>
    <row r="2348" spans="2:2" x14ac:dyDescent="0.3">
      <c r="B2348" t="s">
        <v>55</v>
      </c>
    </row>
    <row r="2349" spans="2:2" x14ac:dyDescent="0.3">
      <c r="B2349" t="s">
        <v>807</v>
      </c>
    </row>
    <row r="2350" spans="2:2" x14ac:dyDescent="0.3">
      <c r="B2350" t="s">
        <v>57</v>
      </c>
    </row>
    <row r="2351" spans="2:2" x14ac:dyDescent="0.3">
      <c r="B2351" t="s">
        <v>58</v>
      </c>
    </row>
    <row r="2352" spans="2:2" x14ac:dyDescent="0.3">
      <c r="B2352" t="s">
        <v>808</v>
      </c>
    </row>
    <row r="2353" spans="2:2" x14ac:dyDescent="0.3">
      <c r="B2353" t="s">
        <v>60</v>
      </c>
    </row>
    <row r="2354" spans="2:2" x14ac:dyDescent="0.3">
      <c r="B2354" t="s">
        <v>61</v>
      </c>
    </row>
    <row r="2355" spans="2:2" x14ac:dyDescent="0.3">
      <c r="B2355" t="s">
        <v>809</v>
      </c>
    </row>
    <row r="2356" spans="2:2" x14ac:dyDescent="0.3">
      <c r="B2356" t="s">
        <v>810</v>
      </c>
    </row>
    <row r="2358" spans="2:2" x14ac:dyDescent="0.3">
      <c r="B2358" t="s">
        <v>797</v>
      </c>
    </row>
    <row r="2359" spans="2:2" x14ac:dyDescent="0.3">
      <c r="B2359" t="s">
        <v>811</v>
      </c>
    </row>
    <row r="2360" spans="2:2" x14ac:dyDescent="0.3">
      <c r="B2360" t="s">
        <v>799</v>
      </c>
    </row>
    <row r="2361" spans="2:2" x14ac:dyDescent="0.3">
      <c r="B2361" t="s">
        <v>800</v>
      </c>
    </row>
    <row r="2362" spans="2:2" x14ac:dyDescent="0.3">
      <c r="B2362" t="s">
        <v>812</v>
      </c>
    </row>
    <row r="2363" spans="2:2" x14ac:dyDescent="0.3">
      <c r="B2363" t="s">
        <v>813</v>
      </c>
    </row>
    <row r="2364" spans="2:2" x14ac:dyDescent="0.3">
      <c r="B2364" t="s">
        <v>50</v>
      </c>
    </row>
    <row r="2365" spans="2:2" x14ac:dyDescent="0.3">
      <c r="B2365" t="s">
        <v>803</v>
      </c>
    </row>
    <row r="2366" spans="2:2" x14ac:dyDescent="0.3">
      <c r="B2366" t="s">
        <v>804</v>
      </c>
    </row>
    <row r="2367" spans="2:2" x14ac:dyDescent="0.3">
      <c r="B2367" t="s">
        <v>51</v>
      </c>
    </row>
    <row r="2368" spans="2:2" x14ac:dyDescent="0.3">
      <c r="B2368" t="s">
        <v>52</v>
      </c>
    </row>
    <row r="2369" spans="2:2" x14ac:dyDescent="0.3">
      <c r="B2369" t="s">
        <v>814</v>
      </c>
    </row>
    <row r="2370" spans="2:2" x14ac:dyDescent="0.3">
      <c r="B2370" t="s">
        <v>806</v>
      </c>
    </row>
    <row r="2371" spans="2:2" x14ac:dyDescent="0.3">
      <c r="B2371" t="s">
        <v>55</v>
      </c>
    </row>
    <row r="2372" spans="2:2" x14ac:dyDescent="0.3">
      <c r="B2372" t="s">
        <v>815</v>
      </c>
    </row>
    <row r="2373" spans="2:2" x14ac:dyDescent="0.3">
      <c r="B2373" t="s">
        <v>57</v>
      </c>
    </row>
    <row r="2374" spans="2:2" x14ac:dyDescent="0.3">
      <c r="B2374" t="s">
        <v>58</v>
      </c>
    </row>
    <row r="2375" spans="2:2" x14ac:dyDescent="0.3">
      <c r="B2375" t="s">
        <v>816</v>
      </c>
    </row>
    <row r="2376" spans="2:2" x14ac:dyDescent="0.3">
      <c r="B2376" t="s">
        <v>60</v>
      </c>
    </row>
    <row r="2377" spans="2:2" x14ac:dyDescent="0.3">
      <c r="B2377" t="s">
        <v>61</v>
      </c>
    </row>
    <row r="2378" spans="2:2" x14ac:dyDescent="0.3">
      <c r="B2378" t="s">
        <v>817</v>
      </c>
    </row>
    <row r="2379" spans="2:2" x14ac:dyDescent="0.3">
      <c r="B2379" t="s">
        <v>810</v>
      </c>
    </row>
    <row r="2381" spans="2:2" x14ac:dyDescent="0.3">
      <c r="B2381" t="s">
        <v>797</v>
      </c>
    </row>
    <row r="2382" spans="2:2" x14ac:dyDescent="0.3">
      <c r="B2382" t="s">
        <v>818</v>
      </c>
    </row>
    <row r="2383" spans="2:2" x14ac:dyDescent="0.3">
      <c r="B2383" t="s">
        <v>799</v>
      </c>
    </row>
    <row r="2384" spans="2:2" x14ac:dyDescent="0.3">
      <c r="B2384" t="s">
        <v>800</v>
      </c>
    </row>
    <row r="2385" spans="2:2" x14ac:dyDescent="0.3">
      <c r="B2385" t="s">
        <v>819</v>
      </c>
    </row>
    <row r="2386" spans="2:2" x14ac:dyDescent="0.3">
      <c r="B2386" t="s">
        <v>72</v>
      </c>
    </row>
    <row r="2387" spans="2:2" x14ac:dyDescent="0.3">
      <c r="B2387" t="s">
        <v>50</v>
      </c>
    </row>
    <row r="2388" spans="2:2" x14ac:dyDescent="0.3">
      <c r="B2388" t="s">
        <v>803</v>
      </c>
    </row>
    <row r="2389" spans="2:2" x14ac:dyDescent="0.3">
      <c r="B2389" t="s">
        <v>804</v>
      </c>
    </row>
    <row r="2390" spans="2:2" x14ac:dyDescent="0.3">
      <c r="B2390" t="s">
        <v>51</v>
      </c>
    </row>
    <row r="2391" spans="2:2" x14ac:dyDescent="0.3">
      <c r="B2391" t="s">
        <v>52</v>
      </c>
    </row>
    <row r="2392" spans="2:2" x14ac:dyDescent="0.3">
      <c r="B2392" t="s">
        <v>820</v>
      </c>
    </row>
    <row r="2393" spans="2:2" x14ac:dyDescent="0.3">
      <c r="B2393" t="s">
        <v>806</v>
      </c>
    </row>
    <row r="2394" spans="2:2" x14ac:dyDescent="0.3">
      <c r="B2394" t="s">
        <v>55</v>
      </c>
    </row>
    <row r="2395" spans="2:2" x14ac:dyDescent="0.3">
      <c r="B2395" t="s">
        <v>821</v>
      </c>
    </row>
    <row r="2396" spans="2:2" x14ac:dyDescent="0.3">
      <c r="B2396" t="s">
        <v>57</v>
      </c>
    </row>
    <row r="2397" spans="2:2" x14ac:dyDescent="0.3">
      <c r="B2397" t="s">
        <v>58</v>
      </c>
    </row>
    <row r="2398" spans="2:2" x14ac:dyDescent="0.3">
      <c r="B2398" t="s">
        <v>822</v>
      </c>
    </row>
    <row r="2399" spans="2:2" x14ac:dyDescent="0.3">
      <c r="B2399" t="s">
        <v>60</v>
      </c>
    </row>
    <row r="2400" spans="2:2" x14ac:dyDescent="0.3">
      <c r="B2400" t="s">
        <v>61</v>
      </c>
    </row>
    <row r="2401" spans="2:2" x14ac:dyDescent="0.3">
      <c r="B2401" t="s">
        <v>823</v>
      </c>
    </row>
    <row r="2402" spans="2:2" x14ac:dyDescent="0.3">
      <c r="B2402" t="s">
        <v>810</v>
      </c>
    </row>
    <row r="2404" spans="2:2" x14ac:dyDescent="0.3">
      <c r="B2404" t="s">
        <v>797</v>
      </c>
    </row>
    <row r="2405" spans="2:2" x14ac:dyDescent="0.3">
      <c r="B2405" t="s">
        <v>824</v>
      </c>
    </row>
    <row r="2406" spans="2:2" x14ac:dyDescent="0.3">
      <c r="B2406" t="s">
        <v>799</v>
      </c>
    </row>
    <row r="2407" spans="2:2" x14ac:dyDescent="0.3">
      <c r="B2407" t="s">
        <v>800</v>
      </c>
    </row>
    <row r="2408" spans="2:2" x14ac:dyDescent="0.3">
      <c r="B2408" t="s">
        <v>825</v>
      </c>
    </row>
    <row r="2409" spans="2:2" x14ac:dyDescent="0.3">
      <c r="B2409" t="s">
        <v>72</v>
      </c>
    </row>
    <row r="2410" spans="2:2" x14ac:dyDescent="0.3">
      <c r="B2410" t="s">
        <v>50</v>
      </c>
    </row>
    <row r="2411" spans="2:2" x14ac:dyDescent="0.3">
      <c r="B2411" t="s">
        <v>803</v>
      </c>
    </row>
    <row r="2412" spans="2:2" x14ac:dyDescent="0.3">
      <c r="B2412" t="s">
        <v>804</v>
      </c>
    </row>
    <row r="2413" spans="2:2" x14ac:dyDescent="0.3">
      <c r="B2413" t="s">
        <v>51</v>
      </c>
    </row>
    <row r="2414" spans="2:2" x14ac:dyDescent="0.3">
      <c r="B2414" t="s">
        <v>826</v>
      </c>
    </row>
    <row r="2415" spans="2:2" x14ac:dyDescent="0.3">
      <c r="B2415" t="s">
        <v>80</v>
      </c>
    </row>
    <row r="2416" spans="2:2" x14ac:dyDescent="0.3">
      <c r="B2416" t="s">
        <v>806</v>
      </c>
    </row>
    <row r="2417" spans="2:2" x14ac:dyDescent="0.3">
      <c r="B2417" t="s">
        <v>827</v>
      </c>
    </row>
    <row r="2418" spans="2:2" x14ac:dyDescent="0.3">
      <c r="B2418" t="s">
        <v>81</v>
      </c>
    </row>
    <row r="2419" spans="2:2" x14ac:dyDescent="0.3">
      <c r="B2419" t="s">
        <v>57</v>
      </c>
    </row>
    <row r="2420" spans="2:2" x14ac:dyDescent="0.3">
      <c r="B2420" t="s">
        <v>828</v>
      </c>
    </row>
    <row r="2421" spans="2:2" x14ac:dyDescent="0.3">
      <c r="B2421" t="s">
        <v>68</v>
      </c>
    </row>
    <row r="2422" spans="2:2" x14ac:dyDescent="0.3">
      <c r="B2422" t="s">
        <v>60</v>
      </c>
    </row>
    <row r="2423" spans="2:2" x14ac:dyDescent="0.3">
      <c r="B2423" t="s">
        <v>829</v>
      </c>
    </row>
    <row r="2424" spans="2:2" x14ac:dyDescent="0.3">
      <c r="B2424" t="s">
        <v>69</v>
      </c>
    </row>
    <row r="2425" spans="2:2" x14ac:dyDescent="0.3">
      <c r="B2425" t="s">
        <v>810</v>
      </c>
    </row>
    <row r="2427" spans="2:2" x14ac:dyDescent="0.3">
      <c r="B2427" t="s">
        <v>797</v>
      </c>
    </row>
    <row r="2428" spans="2:2" x14ac:dyDescent="0.3">
      <c r="B2428" t="s">
        <v>830</v>
      </c>
    </row>
    <row r="2429" spans="2:2" x14ac:dyDescent="0.3">
      <c r="B2429" t="s">
        <v>831</v>
      </c>
    </row>
    <row r="2430" spans="2:2" x14ac:dyDescent="0.3">
      <c r="B2430" t="s">
        <v>832</v>
      </c>
    </row>
    <row r="2431" spans="2:2" x14ac:dyDescent="0.3">
      <c r="B2431" t="s">
        <v>833</v>
      </c>
    </row>
    <row r="2432" spans="2:2" x14ac:dyDescent="0.3">
      <c r="B2432" t="s">
        <v>72</v>
      </c>
    </row>
    <row r="2433" spans="2:2" x14ac:dyDescent="0.3">
      <c r="B2433" t="s">
        <v>50</v>
      </c>
    </row>
    <row r="2434" spans="2:2" x14ac:dyDescent="0.3">
      <c r="B2434" t="s">
        <v>803</v>
      </c>
    </row>
    <row r="2435" spans="2:2" x14ac:dyDescent="0.3">
      <c r="B2435" t="s">
        <v>804</v>
      </c>
    </row>
    <row r="2436" spans="2:2" x14ac:dyDescent="0.3">
      <c r="B2436" t="s">
        <v>51</v>
      </c>
    </row>
    <row r="2437" spans="2:2" x14ac:dyDescent="0.3">
      <c r="B2437" t="s">
        <v>85</v>
      </c>
    </row>
    <row r="2438" spans="2:2" x14ac:dyDescent="0.3">
      <c r="B2438" t="s">
        <v>834</v>
      </c>
    </row>
    <row r="2439" spans="2:2" x14ac:dyDescent="0.3">
      <c r="B2439" t="s">
        <v>806</v>
      </c>
    </row>
    <row r="2440" spans="2:2" x14ac:dyDescent="0.3">
      <c r="B2440" t="s">
        <v>87</v>
      </c>
    </row>
    <row r="2441" spans="2:2" x14ac:dyDescent="0.3">
      <c r="B2441" t="s">
        <v>835</v>
      </c>
    </row>
    <row r="2442" spans="2:2" x14ac:dyDescent="0.3">
      <c r="B2442" t="s">
        <v>836</v>
      </c>
    </row>
    <row r="2443" spans="2:2" x14ac:dyDescent="0.3">
      <c r="B2443" t="s">
        <v>89</v>
      </c>
    </row>
    <row r="2444" spans="2:2" x14ac:dyDescent="0.3">
      <c r="B2444" t="s">
        <v>837</v>
      </c>
    </row>
    <row r="2445" spans="2:2" x14ac:dyDescent="0.3">
      <c r="B2445" t="s">
        <v>838</v>
      </c>
    </row>
    <row r="2446" spans="2:2" x14ac:dyDescent="0.3">
      <c r="B2446" t="s">
        <v>91</v>
      </c>
    </row>
    <row r="2447" spans="2:2" x14ac:dyDescent="0.3">
      <c r="B2447" t="s">
        <v>839</v>
      </c>
    </row>
    <row r="2448" spans="2:2" x14ac:dyDescent="0.3">
      <c r="B2448" t="s">
        <v>810</v>
      </c>
    </row>
    <row r="2450" spans="2:2" x14ac:dyDescent="0.3">
      <c r="B2450" t="s">
        <v>797</v>
      </c>
    </row>
    <row r="2451" spans="2:2" x14ac:dyDescent="0.3">
      <c r="B2451" t="s">
        <v>840</v>
      </c>
    </row>
    <row r="2452" spans="2:2" x14ac:dyDescent="0.3">
      <c r="B2452" t="s">
        <v>831</v>
      </c>
    </row>
    <row r="2453" spans="2:2" x14ac:dyDescent="0.3">
      <c r="B2453" t="s">
        <v>832</v>
      </c>
    </row>
    <row r="2454" spans="2:2" x14ac:dyDescent="0.3">
      <c r="B2454" t="s">
        <v>841</v>
      </c>
    </row>
    <row r="2455" spans="2:2" x14ac:dyDescent="0.3">
      <c r="B2455" t="s">
        <v>72</v>
      </c>
    </row>
    <row r="2456" spans="2:2" x14ac:dyDescent="0.3">
      <c r="B2456" t="s">
        <v>50</v>
      </c>
    </row>
    <row r="2457" spans="2:2" x14ac:dyDescent="0.3">
      <c r="B2457" t="s">
        <v>803</v>
      </c>
    </row>
    <row r="2458" spans="2:2" x14ac:dyDescent="0.3">
      <c r="B2458" t="s">
        <v>804</v>
      </c>
    </row>
    <row r="2459" spans="2:2" x14ac:dyDescent="0.3">
      <c r="B2459" t="s">
        <v>51</v>
      </c>
    </row>
    <row r="2460" spans="2:2" x14ac:dyDescent="0.3">
      <c r="B2460" t="s">
        <v>842</v>
      </c>
    </row>
    <row r="2461" spans="2:2" x14ac:dyDescent="0.3">
      <c r="B2461" t="s">
        <v>75</v>
      </c>
    </row>
    <row r="2462" spans="2:2" x14ac:dyDescent="0.3">
      <c r="B2462" t="s">
        <v>806</v>
      </c>
    </row>
    <row r="2463" spans="2:2" x14ac:dyDescent="0.3">
      <c r="B2463" t="s">
        <v>843</v>
      </c>
    </row>
    <row r="2464" spans="2:2" x14ac:dyDescent="0.3">
      <c r="B2464" t="s">
        <v>76</v>
      </c>
    </row>
    <row r="2465" spans="2:2" x14ac:dyDescent="0.3">
      <c r="B2465" t="s">
        <v>836</v>
      </c>
    </row>
    <row r="2466" spans="2:2" x14ac:dyDescent="0.3">
      <c r="B2466" t="s">
        <v>844</v>
      </c>
    </row>
    <row r="2467" spans="2:2" x14ac:dyDescent="0.3">
      <c r="B2467" t="s">
        <v>90</v>
      </c>
    </row>
    <row r="2468" spans="2:2" x14ac:dyDescent="0.3">
      <c r="B2468" t="s">
        <v>838</v>
      </c>
    </row>
    <row r="2469" spans="2:2" x14ac:dyDescent="0.3">
      <c r="B2469" t="s">
        <v>845</v>
      </c>
    </row>
    <row r="2470" spans="2:2" x14ac:dyDescent="0.3">
      <c r="B2470" t="s">
        <v>92</v>
      </c>
    </row>
    <row r="2471" spans="2:2" x14ac:dyDescent="0.3">
      <c r="B2471" t="s">
        <v>810</v>
      </c>
    </row>
    <row r="2473" spans="2:2" x14ac:dyDescent="0.3">
      <c r="B2473" t="s">
        <v>797</v>
      </c>
    </row>
    <row r="2474" spans="2:2" x14ac:dyDescent="0.3">
      <c r="B2474" t="s">
        <v>846</v>
      </c>
    </row>
    <row r="2475" spans="2:2" x14ac:dyDescent="0.3">
      <c r="B2475" t="s">
        <v>799</v>
      </c>
    </row>
    <row r="2476" spans="2:2" x14ac:dyDescent="0.3">
      <c r="B2476" t="s">
        <v>800</v>
      </c>
    </row>
    <row r="2477" spans="2:2" x14ac:dyDescent="0.3">
      <c r="B2477" t="s">
        <v>847</v>
      </c>
    </row>
    <row r="2478" spans="2:2" x14ac:dyDescent="0.3">
      <c r="B2478" t="s">
        <v>848</v>
      </c>
    </row>
    <row r="2479" spans="2:2" x14ac:dyDescent="0.3">
      <c r="B2479" t="s">
        <v>50</v>
      </c>
    </row>
    <row r="2480" spans="2:2" x14ac:dyDescent="0.3">
      <c r="B2480" t="s">
        <v>803</v>
      </c>
    </row>
    <row r="2481" spans="2:2" x14ac:dyDescent="0.3">
      <c r="B2481" t="s">
        <v>804</v>
      </c>
    </row>
    <row r="2482" spans="2:2" x14ac:dyDescent="0.3">
      <c r="B2482" t="s">
        <v>51</v>
      </c>
    </row>
    <row r="2483" spans="2:2" x14ac:dyDescent="0.3">
      <c r="B2483" t="s">
        <v>96</v>
      </c>
    </row>
    <row r="2484" spans="2:2" x14ac:dyDescent="0.3">
      <c r="B2484" t="s">
        <v>849</v>
      </c>
    </row>
    <row r="2485" spans="2:2" x14ac:dyDescent="0.3">
      <c r="B2485" t="s">
        <v>806</v>
      </c>
    </row>
    <row r="2486" spans="2:2" x14ac:dyDescent="0.3">
      <c r="B2486" t="s">
        <v>97</v>
      </c>
    </row>
    <row r="2487" spans="2:2" x14ac:dyDescent="0.3">
      <c r="B2487" t="s">
        <v>850</v>
      </c>
    </row>
    <row r="2488" spans="2:2" x14ac:dyDescent="0.3">
      <c r="B2488" t="s">
        <v>57</v>
      </c>
    </row>
    <row r="2489" spans="2:2" x14ac:dyDescent="0.3">
      <c r="B2489" t="s">
        <v>82</v>
      </c>
    </row>
    <row r="2490" spans="2:2" x14ac:dyDescent="0.3">
      <c r="B2490" t="s">
        <v>851</v>
      </c>
    </row>
    <row r="2491" spans="2:2" x14ac:dyDescent="0.3">
      <c r="B2491" t="s">
        <v>60</v>
      </c>
    </row>
    <row r="2492" spans="2:2" x14ac:dyDescent="0.3">
      <c r="B2492" t="s">
        <v>83</v>
      </c>
    </row>
    <row r="2493" spans="2:2" x14ac:dyDescent="0.3">
      <c r="B2493" t="s">
        <v>852</v>
      </c>
    </row>
    <row r="2494" spans="2:2" x14ac:dyDescent="0.3">
      <c r="B2494" t="s">
        <v>810</v>
      </c>
    </row>
    <row r="2496" spans="2:2" x14ac:dyDescent="0.3">
      <c r="B2496" t="s">
        <v>797</v>
      </c>
    </row>
    <row r="2497" spans="2:2" x14ac:dyDescent="0.3">
      <c r="B2497" t="s">
        <v>853</v>
      </c>
    </row>
    <row r="2498" spans="2:2" x14ac:dyDescent="0.3">
      <c r="B2498" t="s">
        <v>799</v>
      </c>
    </row>
    <row r="2499" spans="2:2" x14ac:dyDescent="0.3">
      <c r="B2499" t="s">
        <v>800</v>
      </c>
    </row>
    <row r="2500" spans="2:2" x14ac:dyDescent="0.3">
      <c r="B2500" t="s">
        <v>854</v>
      </c>
    </row>
    <row r="2501" spans="2:2" x14ac:dyDescent="0.3">
      <c r="B2501" t="s">
        <v>855</v>
      </c>
    </row>
    <row r="2502" spans="2:2" x14ac:dyDescent="0.3">
      <c r="B2502" t="s">
        <v>50</v>
      </c>
    </row>
    <row r="2503" spans="2:2" x14ac:dyDescent="0.3">
      <c r="B2503" t="s">
        <v>803</v>
      </c>
    </row>
    <row r="2504" spans="2:2" x14ac:dyDescent="0.3">
      <c r="B2504" t="s">
        <v>804</v>
      </c>
    </row>
    <row r="2505" spans="2:2" x14ac:dyDescent="0.3">
      <c r="B2505" t="s">
        <v>51</v>
      </c>
    </row>
    <row r="2506" spans="2:2" x14ac:dyDescent="0.3">
      <c r="B2506" t="s">
        <v>85</v>
      </c>
    </row>
    <row r="2507" spans="2:2" x14ac:dyDescent="0.3">
      <c r="B2507" t="s">
        <v>856</v>
      </c>
    </row>
    <row r="2508" spans="2:2" x14ac:dyDescent="0.3">
      <c r="B2508" t="s">
        <v>806</v>
      </c>
    </row>
    <row r="2509" spans="2:2" x14ac:dyDescent="0.3">
      <c r="B2509" t="s">
        <v>87</v>
      </c>
    </row>
    <row r="2510" spans="2:2" x14ac:dyDescent="0.3">
      <c r="B2510" t="s">
        <v>857</v>
      </c>
    </row>
    <row r="2511" spans="2:2" x14ac:dyDescent="0.3">
      <c r="B2511" t="s">
        <v>858</v>
      </c>
    </row>
    <row r="2512" spans="2:2" x14ac:dyDescent="0.3">
      <c r="B2512" t="s">
        <v>89</v>
      </c>
    </row>
    <row r="2513" spans="2:2" x14ac:dyDescent="0.3">
      <c r="B2513" t="s">
        <v>859</v>
      </c>
    </row>
    <row r="2514" spans="2:2" x14ac:dyDescent="0.3">
      <c r="B2514" t="s">
        <v>860</v>
      </c>
    </row>
    <row r="2515" spans="2:2" x14ac:dyDescent="0.3">
      <c r="B2515" t="s">
        <v>91</v>
      </c>
    </row>
    <row r="2516" spans="2:2" x14ac:dyDescent="0.3">
      <c r="B2516" t="s">
        <v>861</v>
      </c>
    </row>
    <row r="2517" spans="2:2" x14ac:dyDescent="0.3">
      <c r="B2517" t="s">
        <v>810</v>
      </c>
    </row>
    <row r="2519" spans="2:2" x14ac:dyDescent="0.3">
      <c r="B2519" t="s">
        <v>797</v>
      </c>
    </row>
    <row r="2520" spans="2:2" x14ac:dyDescent="0.3">
      <c r="B2520" t="s">
        <v>862</v>
      </c>
    </row>
    <row r="2521" spans="2:2" x14ac:dyDescent="0.3">
      <c r="B2521" t="s">
        <v>831</v>
      </c>
    </row>
    <row r="2522" spans="2:2" x14ac:dyDescent="0.3">
      <c r="B2522" t="s">
        <v>832</v>
      </c>
    </row>
    <row r="2523" spans="2:2" x14ac:dyDescent="0.3">
      <c r="B2523" t="s">
        <v>863</v>
      </c>
    </row>
    <row r="2524" spans="2:2" x14ac:dyDescent="0.3">
      <c r="B2524" t="s">
        <v>72</v>
      </c>
    </row>
    <row r="2525" spans="2:2" x14ac:dyDescent="0.3">
      <c r="B2525" t="s">
        <v>50</v>
      </c>
    </row>
    <row r="2526" spans="2:2" x14ac:dyDescent="0.3">
      <c r="B2526" t="s">
        <v>803</v>
      </c>
    </row>
    <row r="2527" spans="2:2" x14ac:dyDescent="0.3">
      <c r="B2527" t="s">
        <v>804</v>
      </c>
    </row>
    <row r="2528" spans="2:2" x14ac:dyDescent="0.3">
      <c r="B2528" t="s">
        <v>51</v>
      </c>
    </row>
    <row r="2529" spans="2:2" x14ac:dyDescent="0.3">
      <c r="B2529" t="s">
        <v>864</v>
      </c>
    </row>
    <row r="2530" spans="2:2" x14ac:dyDescent="0.3">
      <c r="B2530" t="s">
        <v>75</v>
      </c>
    </row>
    <row r="2531" spans="2:2" x14ac:dyDescent="0.3">
      <c r="B2531" t="s">
        <v>806</v>
      </c>
    </row>
    <row r="2532" spans="2:2" x14ac:dyDescent="0.3">
      <c r="B2532" t="s">
        <v>865</v>
      </c>
    </row>
    <row r="2533" spans="2:2" x14ac:dyDescent="0.3">
      <c r="B2533" t="s">
        <v>76</v>
      </c>
    </row>
    <row r="2534" spans="2:2" x14ac:dyDescent="0.3">
      <c r="B2534" t="s">
        <v>836</v>
      </c>
    </row>
    <row r="2535" spans="2:2" x14ac:dyDescent="0.3">
      <c r="B2535" t="s">
        <v>866</v>
      </c>
    </row>
    <row r="2536" spans="2:2" x14ac:dyDescent="0.3">
      <c r="B2536" t="s">
        <v>90</v>
      </c>
    </row>
    <row r="2537" spans="2:2" x14ac:dyDescent="0.3">
      <c r="B2537" t="s">
        <v>838</v>
      </c>
    </row>
    <row r="2538" spans="2:2" x14ac:dyDescent="0.3">
      <c r="B2538" t="s">
        <v>867</v>
      </c>
    </row>
    <row r="2539" spans="2:2" x14ac:dyDescent="0.3">
      <c r="B2539" t="s">
        <v>92</v>
      </c>
    </row>
    <row r="2540" spans="2:2" x14ac:dyDescent="0.3">
      <c r="B2540" t="s">
        <v>810</v>
      </c>
    </row>
    <row r="2542" spans="2:2" x14ac:dyDescent="0.3">
      <c r="B2542" t="s">
        <v>797</v>
      </c>
    </row>
    <row r="2543" spans="2:2" x14ac:dyDescent="0.3">
      <c r="B2543" t="s">
        <v>868</v>
      </c>
    </row>
    <row r="2544" spans="2:2" x14ac:dyDescent="0.3">
      <c r="B2544" t="s">
        <v>799</v>
      </c>
    </row>
    <row r="2545" spans="2:2" x14ac:dyDescent="0.3">
      <c r="B2545" t="s">
        <v>800</v>
      </c>
    </row>
    <row r="2546" spans="2:2" x14ac:dyDescent="0.3">
      <c r="B2546" t="s">
        <v>869</v>
      </c>
    </row>
    <row r="2547" spans="2:2" x14ac:dyDescent="0.3">
      <c r="B2547" t="s">
        <v>870</v>
      </c>
    </row>
    <row r="2548" spans="2:2" x14ac:dyDescent="0.3">
      <c r="B2548" t="s">
        <v>50</v>
      </c>
    </row>
    <row r="2549" spans="2:2" x14ac:dyDescent="0.3">
      <c r="B2549" t="s">
        <v>803</v>
      </c>
    </row>
    <row r="2550" spans="2:2" x14ac:dyDescent="0.3">
      <c r="B2550" t="s">
        <v>804</v>
      </c>
    </row>
    <row r="2551" spans="2:2" x14ac:dyDescent="0.3">
      <c r="B2551" t="s">
        <v>51</v>
      </c>
    </row>
    <row r="2552" spans="2:2" x14ac:dyDescent="0.3">
      <c r="B2552" t="s">
        <v>85</v>
      </c>
    </row>
    <row r="2553" spans="2:2" x14ac:dyDescent="0.3">
      <c r="B2553" t="s">
        <v>871</v>
      </c>
    </row>
    <row r="2554" spans="2:2" x14ac:dyDescent="0.3">
      <c r="B2554" t="s">
        <v>806</v>
      </c>
    </row>
    <row r="2555" spans="2:2" x14ac:dyDescent="0.3">
      <c r="B2555" t="s">
        <v>87</v>
      </c>
    </row>
    <row r="2556" spans="2:2" x14ac:dyDescent="0.3">
      <c r="B2556" t="s">
        <v>872</v>
      </c>
    </row>
    <row r="2557" spans="2:2" x14ac:dyDescent="0.3">
      <c r="B2557" t="s">
        <v>873</v>
      </c>
    </row>
    <row r="2558" spans="2:2" x14ac:dyDescent="0.3">
      <c r="B2558" t="s">
        <v>89</v>
      </c>
    </row>
    <row r="2559" spans="2:2" x14ac:dyDescent="0.3">
      <c r="B2559" t="s">
        <v>874</v>
      </c>
    </row>
    <row r="2560" spans="2:2" x14ac:dyDescent="0.3">
      <c r="B2560" t="s">
        <v>875</v>
      </c>
    </row>
    <row r="2561" spans="2:2" x14ac:dyDescent="0.3">
      <c r="B2561" t="s">
        <v>91</v>
      </c>
    </row>
    <row r="2562" spans="2:2" x14ac:dyDescent="0.3">
      <c r="B2562" t="s">
        <v>876</v>
      </c>
    </row>
    <row r="2563" spans="2:2" x14ac:dyDescent="0.3">
      <c r="B2563" t="s">
        <v>810</v>
      </c>
    </row>
    <row r="2565" spans="2:2" x14ac:dyDescent="0.3">
      <c r="B2565" t="s">
        <v>797</v>
      </c>
    </row>
    <row r="2566" spans="2:2" x14ac:dyDescent="0.3">
      <c r="B2566" t="s">
        <v>877</v>
      </c>
    </row>
    <row r="2567" spans="2:2" x14ac:dyDescent="0.3">
      <c r="B2567" t="s">
        <v>831</v>
      </c>
    </row>
    <row r="2568" spans="2:2" x14ac:dyDescent="0.3">
      <c r="B2568" t="s">
        <v>832</v>
      </c>
    </row>
    <row r="2569" spans="2:2" x14ac:dyDescent="0.3">
      <c r="B2569" t="s">
        <v>878</v>
      </c>
    </row>
    <row r="2570" spans="2:2" x14ac:dyDescent="0.3">
      <c r="B2570" t="s">
        <v>72</v>
      </c>
    </row>
    <row r="2571" spans="2:2" x14ac:dyDescent="0.3">
      <c r="B2571" t="s">
        <v>50</v>
      </c>
    </row>
    <row r="2572" spans="2:2" x14ac:dyDescent="0.3">
      <c r="B2572" t="s">
        <v>803</v>
      </c>
    </row>
    <row r="2573" spans="2:2" x14ac:dyDescent="0.3">
      <c r="B2573" t="s">
        <v>804</v>
      </c>
    </row>
    <row r="2574" spans="2:2" x14ac:dyDescent="0.3">
      <c r="B2574" t="s">
        <v>51</v>
      </c>
    </row>
    <row r="2575" spans="2:2" x14ac:dyDescent="0.3">
      <c r="B2575" t="s">
        <v>125</v>
      </c>
    </row>
    <row r="2576" spans="2:2" x14ac:dyDescent="0.3">
      <c r="B2576" t="s">
        <v>879</v>
      </c>
    </row>
    <row r="2577" spans="2:2" x14ac:dyDescent="0.3">
      <c r="B2577" t="s">
        <v>806</v>
      </c>
    </row>
    <row r="2578" spans="2:2" x14ac:dyDescent="0.3">
      <c r="B2578" t="s">
        <v>127</v>
      </c>
    </row>
    <row r="2579" spans="2:2" x14ac:dyDescent="0.3">
      <c r="B2579" t="s">
        <v>880</v>
      </c>
    </row>
    <row r="2580" spans="2:2" x14ac:dyDescent="0.3">
      <c r="B2580" t="s">
        <v>836</v>
      </c>
    </row>
    <row r="2581" spans="2:2" x14ac:dyDescent="0.3">
      <c r="B2581" t="s">
        <v>142</v>
      </c>
    </row>
    <row r="2582" spans="2:2" x14ac:dyDescent="0.3">
      <c r="B2582" t="s">
        <v>881</v>
      </c>
    </row>
    <row r="2583" spans="2:2" x14ac:dyDescent="0.3">
      <c r="B2583" t="s">
        <v>838</v>
      </c>
    </row>
    <row r="2584" spans="2:2" x14ac:dyDescent="0.3">
      <c r="B2584" t="s">
        <v>143</v>
      </c>
    </row>
    <row r="2585" spans="2:2" x14ac:dyDescent="0.3">
      <c r="B2585" t="s">
        <v>882</v>
      </c>
    </row>
    <row r="2586" spans="2:2" x14ac:dyDescent="0.3">
      <c r="B2586" t="s">
        <v>810</v>
      </c>
    </row>
    <row r="2588" spans="2:2" x14ac:dyDescent="0.3">
      <c r="B2588" t="s">
        <v>797</v>
      </c>
    </row>
    <row r="2589" spans="2:2" x14ac:dyDescent="0.3">
      <c r="B2589" t="s">
        <v>883</v>
      </c>
    </row>
    <row r="2590" spans="2:2" x14ac:dyDescent="0.3">
      <c r="B2590" t="s">
        <v>831</v>
      </c>
    </row>
    <row r="2591" spans="2:2" x14ac:dyDescent="0.3">
      <c r="B2591" t="s">
        <v>832</v>
      </c>
    </row>
    <row r="2592" spans="2:2" x14ac:dyDescent="0.3">
      <c r="B2592" t="s">
        <v>884</v>
      </c>
    </row>
    <row r="2593" spans="2:2" x14ac:dyDescent="0.3">
      <c r="B2593" t="s">
        <v>72</v>
      </c>
    </row>
    <row r="2594" spans="2:2" x14ac:dyDescent="0.3">
      <c r="B2594" t="s">
        <v>50</v>
      </c>
    </row>
    <row r="2595" spans="2:2" x14ac:dyDescent="0.3">
      <c r="B2595" t="s">
        <v>803</v>
      </c>
    </row>
    <row r="2596" spans="2:2" x14ac:dyDescent="0.3">
      <c r="B2596" t="s">
        <v>804</v>
      </c>
    </row>
    <row r="2597" spans="2:2" x14ac:dyDescent="0.3">
      <c r="B2597" t="s">
        <v>51</v>
      </c>
    </row>
    <row r="2598" spans="2:2" x14ac:dyDescent="0.3">
      <c r="B2598" t="s">
        <v>85</v>
      </c>
    </row>
    <row r="2599" spans="2:2" x14ac:dyDescent="0.3">
      <c r="B2599" t="s">
        <v>885</v>
      </c>
    </row>
    <row r="2600" spans="2:2" x14ac:dyDescent="0.3">
      <c r="B2600" t="s">
        <v>886</v>
      </c>
    </row>
    <row r="2601" spans="2:2" x14ac:dyDescent="0.3">
      <c r="B2601" t="s">
        <v>87</v>
      </c>
    </row>
    <row r="2602" spans="2:2" x14ac:dyDescent="0.3">
      <c r="B2602" t="s">
        <v>887</v>
      </c>
    </row>
    <row r="2603" spans="2:2" x14ac:dyDescent="0.3">
      <c r="B2603" t="s">
        <v>888</v>
      </c>
    </row>
    <row r="2604" spans="2:2" x14ac:dyDescent="0.3">
      <c r="B2604" t="s">
        <v>89</v>
      </c>
    </row>
    <row r="2605" spans="2:2" x14ac:dyDescent="0.3">
      <c r="B2605" t="s">
        <v>889</v>
      </c>
    </row>
    <row r="2606" spans="2:2" x14ac:dyDescent="0.3">
      <c r="B2606" t="s">
        <v>890</v>
      </c>
    </row>
    <row r="2607" spans="2:2" x14ac:dyDescent="0.3">
      <c r="B2607" t="s">
        <v>91</v>
      </c>
    </row>
    <row r="2608" spans="2:2" x14ac:dyDescent="0.3">
      <c r="B2608" t="s">
        <v>891</v>
      </c>
    </row>
    <row r="2609" spans="2:2" x14ac:dyDescent="0.3">
      <c r="B2609" t="s">
        <v>892</v>
      </c>
    </row>
    <row r="2611" spans="2:2" x14ac:dyDescent="0.3">
      <c r="B2611" t="s">
        <v>797</v>
      </c>
    </row>
    <row r="2612" spans="2:2" x14ac:dyDescent="0.3">
      <c r="B2612" t="s">
        <v>893</v>
      </c>
    </row>
    <row r="2613" spans="2:2" x14ac:dyDescent="0.3">
      <c r="B2613" t="s">
        <v>799</v>
      </c>
    </row>
    <row r="2614" spans="2:2" x14ac:dyDescent="0.3">
      <c r="B2614" t="s">
        <v>800</v>
      </c>
    </row>
    <row r="2615" spans="2:2" x14ac:dyDescent="0.3">
      <c r="B2615" t="s">
        <v>894</v>
      </c>
    </row>
    <row r="2616" spans="2:2" x14ac:dyDescent="0.3">
      <c r="B2616" t="s">
        <v>895</v>
      </c>
    </row>
    <row r="2617" spans="2:2" x14ac:dyDescent="0.3">
      <c r="B2617" t="s">
        <v>50</v>
      </c>
    </row>
    <row r="2618" spans="2:2" x14ac:dyDescent="0.3">
      <c r="B2618" t="s">
        <v>803</v>
      </c>
    </row>
    <row r="2619" spans="2:2" x14ac:dyDescent="0.3">
      <c r="B2619" t="s">
        <v>804</v>
      </c>
    </row>
    <row r="2620" spans="2:2" x14ac:dyDescent="0.3">
      <c r="B2620" t="s">
        <v>51</v>
      </c>
    </row>
    <row r="2621" spans="2:2" x14ac:dyDescent="0.3">
      <c r="B2621" t="s">
        <v>96</v>
      </c>
    </row>
    <row r="2622" spans="2:2" x14ac:dyDescent="0.3">
      <c r="B2622" t="s">
        <v>896</v>
      </c>
    </row>
    <row r="2623" spans="2:2" x14ac:dyDescent="0.3">
      <c r="B2623" t="s">
        <v>806</v>
      </c>
    </row>
    <row r="2624" spans="2:2" x14ac:dyDescent="0.3">
      <c r="B2624" t="s">
        <v>97</v>
      </c>
    </row>
    <row r="2625" spans="2:2" x14ac:dyDescent="0.3">
      <c r="B2625" t="s">
        <v>897</v>
      </c>
    </row>
    <row r="2626" spans="2:2" x14ac:dyDescent="0.3">
      <c r="B2626" t="s">
        <v>57</v>
      </c>
    </row>
    <row r="2627" spans="2:2" x14ac:dyDescent="0.3">
      <c r="B2627" t="s">
        <v>82</v>
      </c>
    </row>
    <row r="2628" spans="2:2" x14ac:dyDescent="0.3">
      <c r="B2628" t="s">
        <v>898</v>
      </c>
    </row>
    <row r="2629" spans="2:2" x14ac:dyDescent="0.3">
      <c r="B2629" t="s">
        <v>60</v>
      </c>
    </row>
    <row r="2630" spans="2:2" x14ac:dyDescent="0.3">
      <c r="B2630" t="s">
        <v>83</v>
      </c>
    </row>
    <row r="2631" spans="2:2" x14ac:dyDescent="0.3">
      <c r="B2631" t="s">
        <v>899</v>
      </c>
    </row>
    <row r="2632" spans="2:2" x14ac:dyDescent="0.3">
      <c r="B2632" t="s">
        <v>810</v>
      </c>
    </row>
    <row r="2635" spans="2:2" x14ac:dyDescent="0.3">
      <c r="B2635" t="s">
        <v>299</v>
      </c>
    </row>
    <row r="2637" spans="2:2" x14ac:dyDescent="0.3">
      <c r="B2637" t="s">
        <v>900</v>
      </c>
    </row>
    <row r="2638" spans="2:2" x14ac:dyDescent="0.3">
      <c r="B2638" t="s">
        <v>901</v>
      </c>
    </row>
    <row r="2639" spans="2:2" x14ac:dyDescent="0.3">
      <c r="B2639" t="s">
        <v>902</v>
      </c>
    </row>
    <row r="2640" spans="2:2" x14ac:dyDescent="0.3">
      <c r="B2640" t="s">
        <v>903</v>
      </c>
    </row>
    <row r="2641" spans="2:2" x14ac:dyDescent="0.3">
      <c r="B2641" t="s">
        <v>904</v>
      </c>
    </row>
    <row r="2642" spans="2:2" x14ac:dyDescent="0.3">
      <c r="B2642" t="s">
        <v>905</v>
      </c>
    </row>
    <row r="2643" spans="2:2" x14ac:dyDescent="0.3">
      <c r="B2643" t="s">
        <v>906</v>
      </c>
    </row>
    <row r="2644" spans="2:2" x14ac:dyDescent="0.3">
      <c r="B2644" t="s">
        <v>907</v>
      </c>
    </row>
    <row r="2645" spans="2:2" x14ac:dyDescent="0.3">
      <c r="B2645" t="s">
        <v>908</v>
      </c>
    </row>
    <row r="2646" spans="2:2" x14ac:dyDescent="0.3">
      <c r="B2646" t="s">
        <v>909</v>
      </c>
    </row>
    <row r="2647" spans="2:2" x14ac:dyDescent="0.3">
      <c r="B2647" t="s">
        <v>910</v>
      </c>
    </row>
    <row r="2648" spans="2:2" x14ac:dyDescent="0.3">
      <c r="B2648" t="s">
        <v>911</v>
      </c>
    </row>
    <row r="2649" spans="2:2" x14ac:dyDescent="0.3">
      <c r="B2649" t="s">
        <v>912</v>
      </c>
    </row>
    <row r="2650" spans="2:2" x14ac:dyDescent="0.3">
      <c r="B2650" t="s">
        <v>913</v>
      </c>
    </row>
    <row r="2651" spans="2:2" x14ac:dyDescent="0.3">
      <c r="B2651" t="s">
        <v>914</v>
      </c>
    </row>
    <row r="2652" spans="2:2" x14ac:dyDescent="0.3">
      <c r="B2652" t="s">
        <v>915</v>
      </c>
    </row>
    <row r="2653" spans="2:2" x14ac:dyDescent="0.3">
      <c r="B2653" t="s">
        <v>916</v>
      </c>
    </row>
    <row r="2654" spans="2:2" x14ac:dyDescent="0.3">
      <c r="B2654" t="s">
        <v>917</v>
      </c>
    </row>
    <row r="2655" spans="2:2" x14ac:dyDescent="0.3">
      <c r="B2655" t="s">
        <v>918</v>
      </c>
    </row>
    <row r="2656" spans="2:2" x14ac:dyDescent="0.3">
      <c r="B2656" t="s">
        <v>919</v>
      </c>
    </row>
    <row r="2657" spans="2:2" x14ac:dyDescent="0.3">
      <c r="B2657" t="s">
        <v>920</v>
      </c>
    </row>
    <row r="2658" spans="2:2" x14ac:dyDescent="0.3">
      <c r="B2658" t="s">
        <v>921</v>
      </c>
    </row>
    <row r="2659" spans="2:2" x14ac:dyDescent="0.3">
      <c r="B2659" t="s">
        <v>922</v>
      </c>
    </row>
    <row r="2660" spans="2:2" x14ac:dyDescent="0.3">
      <c r="B2660" t="s">
        <v>923</v>
      </c>
    </row>
    <row r="2661" spans="2:2" x14ac:dyDescent="0.3">
      <c r="B2661" t="s">
        <v>924</v>
      </c>
    </row>
    <row r="2662" spans="2:2" x14ac:dyDescent="0.3">
      <c r="B2662" t="s">
        <v>925</v>
      </c>
    </row>
    <row r="2665" spans="2:2" x14ac:dyDescent="0.3">
      <c r="B2665" t="s">
        <v>300</v>
      </c>
    </row>
    <row r="2667" spans="2:2" x14ac:dyDescent="0.3">
      <c r="B2667" t="s">
        <v>926</v>
      </c>
    </row>
    <row r="2668" spans="2:2" x14ac:dyDescent="0.3">
      <c r="B2668" t="s">
        <v>927</v>
      </c>
    </row>
    <row r="2669" spans="2:2" x14ac:dyDescent="0.3">
      <c r="B2669" t="s">
        <v>928</v>
      </c>
    </row>
    <row r="2670" spans="2:2" x14ac:dyDescent="0.3">
      <c r="B2670" t="s">
        <v>51</v>
      </c>
    </row>
    <row r="2671" spans="2:2" x14ac:dyDescent="0.3">
      <c r="B2671" t="s">
        <v>929</v>
      </c>
    </row>
    <row r="2672" spans="2:2" x14ac:dyDescent="0.3">
      <c r="B2672" t="s">
        <v>930</v>
      </c>
    </row>
    <row r="2673" spans="2:2" x14ac:dyDescent="0.3">
      <c r="B2673" t="s">
        <v>931</v>
      </c>
    </row>
    <row r="2674" spans="2:2" x14ac:dyDescent="0.3">
      <c r="B2674" t="s">
        <v>932</v>
      </c>
    </row>
    <row r="2675" spans="2:2" x14ac:dyDescent="0.3">
      <c r="B2675" t="s">
        <v>933</v>
      </c>
    </row>
    <row r="2676" spans="2:2" x14ac:dyDescent="0.3">
      <c r="B2676" t="s">
        <v>934</v>
      </c>
    </row>
    <row r="2677" spans="2:2" x14ac:dyDescent="0.3">
      <c r="B2677" t="s">
        <v>935</v>
      </c>
    </row>
    <row r="2678" spans="2:2" x14ac:dyDescent="0.3">
      <c r="B2678" t="s">
        <v>936</v>
      </c>
    </row>
    <row r="2679" spans="2:2" x14ac:dyDescent="0.3">
      <c r="B2679" t="s">
        <v>937</v>
      </c>
    </row>
    <row r="2680" spans="2:2" x14ac:dyDescent="0.3">
      <c r="B2680" t="s">
        <v>938</v>
      </c>
    </row>
    <row r="2681" spans="2:2" x14ac:dyDescent="0.3">
      <c r="B2681" t="s">
        <v>939</v>
      </c>
    </row>
    <row r="2682" spans="2:2" x14ac:dyDescent="0.3">
      <c r="B2682" t="s">
        <v>940</v>
      </c>
    </row>
    <row r="2683" spans="2:2" x14ac:dyDescent="0.3">
      <c r="B2683" t="s">
        <v>941</v>
      </c>
    </row>
    <row r="2684" spans="2:2" x14ac:dyDescent="0.3">
      <c r="B2684" t="s">
        <v>942</v>
      </c>
    </row>
    <row r="2685" spans="2:2" x14ac:dyDescent="0.3">
      <c r="B2685" t="s">
        <v>943</v>
      </c>
    </row>
    <row r="2686" spans="2:2" x14ac:dyDescent="0.3">
      <c r="B2686" t="s">
        <v>944</v>
      </c>
    </row>
    <row r="2687" spans="2:2" x14ac:dyDescent="0.3">
      <c r="B2687" t="s">
        <v>945</v>
      </c>
    </row>
    <row r="2688" spans="2:2" x14ac:dyDescent="0.3">
      <c r="B2688" t="s">
        <v>946</v>
      </c>
    </row>
    <row r="2689" spans="2:2" x14ac:dyDescent="0.3">
      <c r="B2689" t="s">
        <v>947</v>
      </c>
    </row>
    <row r="2690" spans="2:2" x14ac:dyDescent="0.3">
      <c r="B2690" t="s">
        <v>948</v>
      </c>
    </row>
    <row r="2691" spans="2:2" x14ac:dyDescent="0.3">
      <c r="B2691" t="s">
        <v>949</v>
      </c>
    </row>
    <row r="2692" spans="2:2" x14ac:dyDescent="0.3">
      <c r="B2692" t="s">
        <v>950</v>
      </c>
    </row>
    <row r="2693" spans="2:2" x14ac:dyDescent="0.3">
      <c r="B2693" t="s">
        <v>951</v>
      </c>
    </row>
    <row r="2694" spans="2:2" x14ac:dyDescent="0.3">
      <c r="B2694" t="s">
        <v>952</v>
      </c>
    </row>
    <row r="2696" spans="2:2" x14ac:dyDescent="0.3">
      <c r="B2696" t="s">
        <v>926</v>
      </c>
    </row>
    <row r="2697" spans="2:2" x14ac:dyDescent="0.3">
      <c r="B2697" t="s">
        <v>953</v>
      </c>
    </row>
    <row r="2698" spans="2:2" x14ac:dyDescent="0.3">
      <c r="B2698" t="s">
        <v>928</v>
      </c>
    </row>
    <row r="2699" spans="2:2" x14ac:dyDescent="0.3">
      <c r="B2699" t="s">
        <v>51</v>
      </c>
    </row>
    <row r="2700" spans="2:2" x14ac:dyDescent="0.3">
      <c r="B2700" t="s">
        <v>954</v>
      </c>
    </row>
    <row r="2701" spans="2:2" x14ac:dyDescent="0.3">
      <c r="B2701" t="s">
        <v>955</v>
      </c>
    </row>
    <row r="2702" spans="2:2" x14ac:dyDescent="0.3">
      <c r="B2702" t="s">
        <v>931</v>
      </c>
    </row>
    <row r="2703" spans="2:2" x14ac:dyDescent="0.3">
      <c r="B2703" t="s">
        <v>956</v>
      </c>
    </row>
    <row r="2704" spans="2:2" x14ac:dyDescent="0.3">
      <c r="B2704" t="s">
        <v>957</v>
      </c>
    </row>
    <row r="2705" spans="2:2" x14ac:dyDescent="0.3">
      <c r="B2705" t="s">
        <v>958</v>
      </c>
    </row>
    <row r="2706" spans="2:2" x14ac:dyDescent="0.3">
      <c r="B2706" t="s">
        <v>959</v>
      </c>
    </row>
    <row r="2707" spans="2:2" x14ac:dyDescent="0.3">
      <c r="B2707" t="s">
        <v>960</v>
      </c>
    </row>
    <row r="2708" spans="2:2" x14ac:dyDescent="0.3">
      <c r="B2708" t="s">
        <v>961</v>
      </c>
    </row>
    <row r="2709" spans="2:2" x14ac:dyDescent="0.3">
      <c r="B2709" t="s">
        <v>962</v>
      </c>
    </row>
    <row r="2710" spans="2:2" x14ac:dyDescent="0.3">
      <c r="B2710" t="s">
        <v>963</v>
      </c>
    </row>
    <row r="2711" spans="2:2" x14ac:dyDescent="0.3">
      <c r="B2711" t="s">
        <v>964</v>
      </c>
    </row>
    <row r="2712" spans="2:2" x14ac:dyDescent="0.3">
      <c r="B2712" t="s">
        <v>965</v>
      </c>
    </row>
    <row r="2713" spans="2:2" x14ac:dyDescent="0.3">
      <c r="B2713" t="s">
        <v>966</v>
      </c>
    </row>
    <row r="2714" spans="2:2" x14ac:dyDescent="0.3">
      <c r="B2714" t="s">
        <v>967</v>
      </c>
    </row>
    <row r="2715" spans="2:2" x14ac:dyDescent="0.3">
      <c r="B2715" t="s">
        <v>968</v>
      </c>
    </row>
    <row r="2716" spans="2:2" x14ac:dyDescent="0.3">
      <c r="B2716" t="s">
        <v>969</v>
      </c>
    </row>
    <row r="2717" spans="2:2" x14ac:dyDescent="0.3">
      <c r="B2717" t="s">
        <v>970</v>
      </c>
    </row>
    <row r="2718" spans="2:2" x14ac:dyDescent="0.3">
      <c r="B2718" t="s">
        <v>971</v>
      </c>
    </row>
    <row r="2719" spans="2:2" x14ac:dyDescent="0.3">
      <c r="B2719" t="s">
        <v>948</v>
      </c>
    </row>
    <row r="2720" spans="2:2" x14ac:dyDescent="0.3">
      <c r="B2720" t="s">
        <v>972</v>
      </c>
    </row>
    <row r="2721" spans="2:2" x14ac:dyDescent="0.3">
      <c r="B2721" t="s">
        <v>973</v>
      </c>
    </row>
    <row r="2722" spans="2:2" x14ac:dyDescent="0.3">
      <c r="B2722" t="s">
        <v>951</v>
      </c>
    </row>
    <row r="2723" spans="2:2" x14ac:dyDescent="0.3">
      <c r="B2723" t="s">
        <v>974</v>
      </c>
    </row>
    <row r="2724" spans="2:2" x14ac:dyDescent="0.3">
      <c r="B2724" t="s">
        <v>975</v>
      </c>
    </row>
    <row r="2725" spans="2:2" x14ac:dyDescent="0.3">
      <c r="B2725" t="s">
        <v>976</v>
      </c>
    </row>
    <row r="2726" spans="2:2" x14ac:dyDescent="0.3">
      <c r="B2726" t="s">
        <v>977</v>
      </c>
    </row>
    <row r="2727" spans="2:2" x14ac:dyDescent="0.3">
      <c r="B2727" t="s">
        <v>978</v>
      </c>
    </row>
    <row r="2728" spans="2:2" x14ac:dyDescent="0.3">
      <c r="B2728" t="s">
        <v>979</v>
      </c>
    </row>
    <row r="2729" spans="2:2" x14ac:dyDescent="0.3">
      <c r="B2729" t="s">
        <v>980</v>
      </c>
    </row>
    <row r="2730" spans="2:2" x14ac:dyDescent="0.3">
      <c r="B2730" t="s">
        <v>981</v>
      </c>
    </row>
    <row r="2731" spans="2:2" x14ac:dyDescent="0.3">
      <c r="B2731" t="s">
        <v>982</v>
      </c>
    </row>
    <row r="2732" spans="2:2" x14ac:dyDescent="0.3">
      <c r="B2732" t="s">
        <v>983</v>
      </c>
    </row>
    <row r="2733" spans="2:2" x14ac:dyDescent="0.3">
      <c r="B2733" t="s">
        <v>984</v>
      </c>
    </row>
    <row r="2734" spans="2:2" x14ac:dyDescent="0.3">
      <c r="B2734" t="s">
        <v>985</v>
      </c>
    </row>
    <row r="2735" spans="2:2" x14ac:dyDescent="0.3">
      <c r="B2735" t="s">
        <v>986</v>
      </c>
    </row>
    <row r="2736" spans="2:2" x14ac:dyDescent="0.3">
      <c r="B2736" t="s">
        <v>987</v>
      </c>
    </row>
    <row r="2737" spans="2:2" x14ac:dyDescent="0.3">
      <c r="B2737" t="s">
        <v>988</v>
      </c>
    </row>
    <row r="2738" spans="2:2" x14ac:dyDescent="0.3">
      <c r="B2738" t="s">
        <v>989</v>
      </c>
    </row>
    <row r="2739" spans="2:2" x14ac:dyDescent="0.3">
      <c r="B2739" t="s">
        <v>990</v>
      </c>
    </row>
    <row r="2740" spans="2:2" x14ac:dyDescent="0.3">
      <c r="B2740" t="s">
        <v>991</v>
      </c>
    </row>
    <row r="2741" spans="2:2" x14ac:dyDescent="0.3">
      <c r="B2741" t="s">
        <v>992</v>
      </c>
    </row>
    <row r="2744" spans="2:2" x14ac:dyDescent="0.3">
      <c r="B2744" t="s">
        <v>301</v>
      </c>
    </row>
    <row r="2746" spans="2:2" x14ac:dyDescent="0.3">
      <c r="B2746" t="s">
        <v>993</v>
      </c>
    </row>
    <row r="2747" spans="2:2" x14ac:dyDescent="0.3">
      <c r="B2747" t="s">
        <v>994</v>
      </c>
    </row>
    <row r="2748" spans="2:2" x14ac:dyDescent="0.3">
      <c r="B2748" t="s">
        <v>995</v>
      </c>
    </row>
    <row r="2749" spans="2:2" x14ac:dyDescent="0.3">
      <c r="B2749" t="s">
        <v>996</v>
      </c>
    </row>
    <row r="2752" spans="2:2" x14ac:dyDescent="0.3">
      <c r="B2752" t="s">
        <v>302</v>
      </c>
    </row>
    <row r="2754" spans="2:2" x14ac:dyDescent="0.3">
      <c r="B2754" t="s">
        <v>997</v>
      </c>
    </row>
    <row r="2755" spans="2:2" x14ac:dyDescent="0.3">
      <c r="B2755" t="s">
        <v>998</v>
      </c>
    </row>
    <row r="2756" spans="2:2" x14ac:dyDescent="0.3">
      <c r="B2756" t="s">
        <v>999</v>
      </c>
    </row>
    <row r="2757" spans="2:2" x14ac:dyDescent="0.3">
      <c r="B2757" t="s">
        <v>1000</v>
      </c>
    </row>
    <row r="2758" spans="2:2" x14ac:dyDescent="0.3">
      <c r="B2758" t="s">
        <v>1001</v>
      </c>
    </row>
    <row r="2759" spans="2:2" x14ac:dyDescent="0.3">
      <c r="B2759" t="s">
        <v>1002</v>
      </c>
    </row>
    <row r="2760" spans="2:2" x14ac:dyDescent="0.3">
      <c r="B2760" t="s">
        <v>1003</v>
      </c>
    </row>
    <row r="2761" spans="2:2" x14ac:dyDescent="0.3">
      <c r="B2761" t="s">
        <v>1004</v>
      </c>
    </row>
    <row r="2762" spans="2:2" x14ac:dyDescent="0.3">
      <c r="B2762" t="s">
        <v>1005</v>
      </c>
    </row>
    <row r="2763" spans="2:2" x14ac:dyDescent="0.3">
      <c r="B2763" t="s">
        <v>1006</v>
      </c>
    </row>
    <row r="2766" spans="2:2" x14ac:dyDescent="0.3">
      <c r="B2766" t="s">
        <v>303</v>
      </c>
    </row>
    <row r="2768" spans="2:2" x14ac:dyDescent="0.3">
      <c r="B2768" t="s">
        <v>1007</v>
      </c>
    </row>
    <row r="2769" spans="2:2" x14ac:dyDescent="0.3">
      <c r="B2769" t="s">
        <v>1008</v>
      </c>
    </row>
    <row r="2770" spans="2:2" x14ac:dyDescent="0.3">
      <c r="B2770" t="s">
        <v>1009</v>
      </c>
    </row>
    <row r="2771" spans="2:2" x14ac:dyDescent="0.3">
      <c r="B2771" t="s">
        <v>1010</v>
      </c>
    </row>
    <row r="2772" spans="2:2" x14ac:dyDescent="0.3">
      <c r="B2772" t="s">
        <v>1011</v>
      </c>
    </row>
    <row r="2773" spans="2:2" x14ac:dyDescent="0.3">
      <c r="B2773" t="s">
        <v>1012</v>
      </c>
    </row>
    <row r="2774" spans="2:2" x14ac:dyDescent="0.3">
      <c r="B2774" t="s">
        <v>1013</v>
      </c>
    </row>
    <row r="2777" spans="2:2" x14ac:dyDescent="0.3">
      <c r="B2777" t="s">
        <v>304</v>
      </c>
    </row>
    <row r="2779" spans="2:2" x14ac:dyDescent="0.3">
      <c r="B2779" t="s">
        <v>1014</v>
      </c>
    </row>
    <row r="2780" spans="2:2" x14ac:dyDescent="0.3">
      <c r="B2780" t="s">
        <v>1015</v>
      </c>
    </row>
    <row r="2781" spans="2:2" x14ac:dyDescent="0.3">
      <c r="B2781" t="s">
        <v>1016</v>
      </c>
    </row>
    <row r="2782" spans="2:2" x14ac:dyDescent="0.3">
      <c r="B2782" t="s">
        <v>1017</v>
      </c>
    </row>
    <row r="2783" spans="2:2" x14ac:dyDescent="0.3">
      <c r="B2783" t="s">
        <v>1018</v>
      </c>
    </row>
    <row r="2786" spans="2:2" x14ac:dyDescent="0.3">
      <c r="B2786" t="s">
        <v>305</v>
      </c>
    </row>
    <row r="2788" spans="2:2" x14ac:dyDescent="0.3">
      <c r="B2788" t="s">
        <v>1019</v>
      </c>
    </row>
    <row r="2789" spans="2:2" x14ac:dyDescent="0.3">
      <c r="B2789" t="s">
        <v>1020</v>
      </c>
    </row>
    <row r="2790" spans="2:2" x14ac:dyDescent="0.3">
      <c r="B2790" t="s">
        <v>1021</v>
      </c>
    </row>
    <row r="2791" spans="2:2" x14ac:dyDescent="0.3">
      <c r="B2791" t="s">
        <v>1022</v>
      </c>
    </row>
    <row r="2792" spans="2:2" x14ac:dyDescent="0.3">
      <c r="B2792" t="s">
        <v>1023</v>
      </c>
    </row>
    <row r="2793" spans="2:2" x14ac:dyDescent="0.3">
      <c r="B2793" t="s">
        <v>1024</v>
      </c>
    </row>
    <row r="2794" spans="2:2" x14ac:dyDescent="0.3">
      <c r="B2794" t="s">
        <v>1025</v>
      </c>
    </row>
    <row r="2795" spans="2:2" x14ac:dyDescent="0.3">
      <c r="B2795" t="s">
        <v>1026</v>
      </c>
    </row>
    <row r="2796" spans="2:2" x14ac:dyDescent="0.3">
      <c r="B2796" t="s">
        <v>1027</v>
      </c>
    </row>
    <row r="2797" spans="2:2" x14ac:dyDescent="0.3">
      <c r="B2797" t="s">
        <v>1028</v>
      </c>
    </row>
    <row r="2798" spans="2:2" x14ac:dyDescent="0.3">
      <c r="B2798" t="s">
        <v>1029</v>
      </c>
    </row>
    <row r="2799" spans="2:2" x14ac:dyDescent="0.3">
      <c r="B2799" t="s">
        <v>1030</v>
      </c>
    </row>
    <row r="2800" spans="2:2" x14ac:dyDescent="0.3">
      <c r="B2800" t="s">
        <v>1031</v>
      </c>
    </row>
    <row r="2801" spans="2:2" x14ac:dyDescent="0.3">
      <c r="B2801" t="s">
        <v>1032</v>
      </c>
    </row>
    <row r="2802" spans="2:2" x14ac:dyDescent="0.3">
      <c r="B2802" t="s">
        <v>1033</v>
      </c>
    </row>
    <row r="2803" spans="2:2" x14ac:dyDescent="0.3">
      <c r="B2803" t="s">
        <v>1034</v>
      </c>
    </row>
    <row r="2804" spans="2:2" x14ac:dyDescent="0.3">
      <c r="B2804" t="s">
        <v>1035</v>
      </c>
    </row>
    <row r="2805" spans="2:2" x14ac:dyDescent="0.3">
      <c r="B2805" t="s">
        <v>1036</v>
      </c>
    </row>
    <row r="2808" spans="2:2" x14ac:dyDescent="0.3">
      <c r="B2808" t="s">
        <v>306</v>
      </c>
    </row>
    <row r="2810" spans="2:2" x14ac:dyDescent="0.3">
      <c r="B2810" t="s">
        <v>1037</v>
      </c>
    </row>
    <row r="2811" spans="2:2" x14ac:dyDescent="0.3">
      <c r="B2811" t="s">
        <v>1038</v>
      </c>
    </row>
    <row r="2812" spans="2:2" x14ac:dyDescent="0.3">
      <c r="B2812" t="s">
        <v>1039</v>
      </c>
    </row>
    <row r="2813" spans="2:2" x14ac:dyDescent="0.3">
      <c r="B2813" t="s">
        <v>1040</v>
      </c>
    </row>
    <row r="2814" spans="2:2" x14ac:dyDescent="0.3">
      <c r="B2814" t="s">
        <v>1041</v>
      </c>
    </row>
    <row r="2815" spans="2:2" x14ac:dyDescent="0.3">
      <c r="B2815" t="s">
        <v>1042</v>
      </c>
    </row>
    <row r="2818" spans="2:2" x14ac:dyDescent="0.3">
      <c r="B2818" t="s">
        <v>307</v>
      </c>
    </row>
    <row r="2820" spans="2:2" x14ac:dyDescent="0.3">
      <c r="B2820" t="s">
        <v>1043</v>
      </c>
    </row>
    <row r="2821" spans="2:2" x14ac:dyDescent="0.3">
      <c r="B2821" t="s">
        <v>1044</v>
      </c>
    </row>
    <row r="2822" spans="2:2" x14ac:dyDescent="0.3">
      <c r="B2822" t="s">
        <v>1045</v>
      </c>
    </row>
    <row r="2823" spans="2:2" x14ac:dyDescent="0.3">
      <c r="B2823" t="s">
        <v>1046</v>
      </c>
    </row>
    <row r="2824" spans="2:2" x14ac:dyDescent="0.3">
      <c r="B2824" t="s">
        <v>1047</v>
      </c>
    </row>
    <row r="2827" spans="2:2" x14ac:dyDescent="0.3">
      <c r="B2827" t="s">
        <v>308</v>
      </c>
    </row>
    <row r="2829" spans="2:2" x14ac:dyDescent="0.3">
      <c r="B2829" t="s">
        <v>1048</v>
      </c>
    </row>
    <row r="2830" spans="2:2" x14ac:dyDescent="0.3">
      <c r="B2830" t="s">
        <v>1049</v>
      </c>
    </row>
    <row r="2831" spans="2:2" x14ac:dyDescent="0.3">
      <c r="B2831" t="s">
        <v>1050</v>
      </c>
    </row>
    <row r="2832" spans="2:2" x14ac:dyDescent="0.3">
      <c r="B2832" t="s">
        <v>1051</v>
      </c>
    </row>
    <row r="2833" spans="2:2" x14ac:dyDescent="0.3">
      <c r="B2833" t="s">
        <v>1052</v>
      </c>
    </row>
    <row r="2834" spans="2:2" x14ac:dyDescent="0.3">
      <c r="B2834" t="s">
        <v>1053</v>
      </c>
    </row>
    <row r="2835" spans="2:2" x14ac:dyDescent="0.3">
      <c r="B2835" t="s">
        <v>1054</v>
      </c>
    </row>
    <row r="2836" spans="2:2" x14ac:dyDescent="0.3">
      <c r="B2836" t="s">
        <v>1055</v>
      </c>
    </row>
    <row r="2837" spans="2:2" x14ac:dyDescent="0.3">
      <c r="B2837" t="s">
        <v>1056</v>
      </c>
    </row>
    <row r="2838" spans="2:2" x14ac:dyDescent="0.3">
      <c r="B2838" t="s">
        <v>1057</v>
      </c>
    </row>
    <row r="2839" spans="2:2" x14ac:dyDescent="0.3">
      <c r="B2839" t="s">
        <v>1058</v>
      </c>
    </row>
    <row r="2840" spans="2:2" x14ac:dyDescent="0.3">
      <c r="B2840" t="s">
        <v>1059</v>
      </c>
    </row>
    <row r="2841" spans="2:2" x14ac:dyDescent="0.3">
      <c r="B2841" t="s">
        <v>1060</v>
      </c>
    </row>
    <row r="2842" spans="2:2" x14ac:dyDescent="0.3">
      <c r="B2842" t="s">
        <v>1061</v>
      </c>
    </row>
    <row r="2843" spans="2:2" x14ac:dyDescent="0.3">
      <c r="B2843" t="s">
        <v>1062</v>
      </c>
    </row>
    <row r="2844" spans="2:2" x14ac:dyDescent="0.3">
      <c r="B2844" t="s">
        <v>1063</v>
      </c>
    </row>
    <row r="2845" spans="2:2" x14ac:dyDescent="0.3">
      <c r="B2845" t="s">
        <v>1064</v>
      </c>
    </row>
    <row r="2847" spans="2:2" x14ac:dyDescent="0.3">
      <c r="B2847" t="s">
        <v>1048</v>
      </c>
    </row>
    <row r="2848" spans="2:2" x14ac:dyDescent="0.3">
      <c r="B2848" t="s">
        <v>1065</v>
      </c>
    </row>
    <row r="2849" spans="2:2" x14ac:dyDescent="0.3">
      <c r="B2849" t="s">
        <v>1066</v>
      </c>
    </row>
    <row r="2850" spans="2:2" x14ac:dyDescent="0.3">
      <c r="B2850" t="s">
        <v>1067</v>
      </c>
    </row>
    <row r="2851" spans="2:2" x14ac:dyDescent="0.3">
      <c r="B2851" t="s">
        <v>1052</v>
      </c>
    </row>
    <row r="2852" spans="2:2" x14ac:dyDescent="0.3">
      <c r="B2852" t="s">
        <v>1068</v>
      </c>
    </row>
    <row r="2853" spans="2:2" x14ac:dyDescent="0.3">
      <c r="B2853" t="s">
        <v>1054</v>
      </c>
    </row>
    <row r="2854" spans="2:2" x14ac:dyDescent="0.3">
      <c r="B2854" t="s">
        <v>1055</v>
      </c>
    </row>
    <row r="2855" spans="2:2" x14ac:dyDescent="0.3">
      <c r="B2855" t="s">
        <v>1056</v>
      </c>
    </row>
    <row r="2856" spans="2:2" x14ac:dyDescent="0.3">
      <c r="B2856" t="s">
        <v>1057</v>
      </c>
    </row>
    <row r="2857" spans="2:2" x14ac:dyDescent="0.3">
      <c r="B2857" t="s">
        <v>1069</v>
      </c>
    </row>
    <row r="2858" spans="2:2" x14ac:dyDescent="0.3">
      <c r="B2858" t="s">
        <v>1059</v>
      </c>
    </row>
    <row r="2859" spans="2:2" x14ac:dyDescent="0.3">
      <c r="B2859" t="s">
        <v>1060</v>
      </c>
    </row>
    <row r="2860" spans="2:2" x14ac:dyDescent="0.3">
      <c r="B2860" t="s">
        <v>1061</v>
      </c>
    </row>
    <row r="2861" spans="2:2" x14ac:dyDescent="0.3">
      <c r="B2861" t="s">
        <v>1062</v>
      </c>
    </row>
    <row r="2862" spans="2:2" x14ac:dyDescent="0.3">
      <c r="B2862" t="s">
        <v>1063</v>
      </c>
    </row>
    <row r="2863" spans="2:2" x14ac:dyDescent="0.3">
      <c r="B2863" t="s">
        <v>1064</v>
      </c>
    </row>
    <row r="2865" spans="2:2" x14ac:dyDescent="0.3">
      <c r="B2865" t="s">
        <v>1048</v>
      </c>
    </row>
    <row r="2866" spans="2:2" x14ac:dyDescent="0.3">
      <c r="B2866" t="s">
        <v>1070</v>
      </c>
    </row>
    <row r="2867" spans="2:2" x14ac:dyDescent="0.3">
      <c r="B2867" t="s">
        <v>1071</v>
      </c>
    </row>
    <row r="2868" spans="2:2" x14ac:dyDescent="0.3">
      <c r="B2868" t="s">
        <v>1067</v>
      </c>
    </row>
    <row r="2869" spans="2:2" x14ac:dyDescent="0.3">
      <c r="B2869" t="s">
        <v>1052</v>
      </c>
    </row>
    <row r="2870" spans="2:2" x14ac:dyDescent="0.3">
      <c r="B2870" t="s">
        <v>1068</v>
      </c>
    </row>
    <row r="2871" spans="2:2" x14ac:dyDescent="0.3">
      <c r="B2871" t="s">
        <v>1054</v>
      </c>
    </row>
    <row r="2872" spans="2:2" x14ac:dyDescent="0.3">
      <c r="B2872" t="s">
        <v>1055</v>
      </c>
    </row>
    <row r="2873" spans="2:2" x14ac:dyDescent="0.3">
      <c r="B2873" t="s">
        <v>1056</v>
      </c>
    </row>
    <row r="2874" spans="2:2" x14ac:dyDescent="0.3">
      <c r="B2874" t="s">
        <v>1057</v>
      </c>
    </row>
    <row r="2875" spans="2:2" x14ac:dyDescent="0.3">
      <c r="B2875" t="s">
        <v>1069</v>
      </c>
    </row>
    <row r="2876" spans="2:2" x14ac:dyDescent="0.3">
      <c r="B2876" t="s">
        <v>1059</v>
      </c>
    </row>
    <row r="2877" spans="2:2" x14ac:dyDescent="0.3">
      <c r="B2877" t="s">
        <v>1060</v>
      </c>
    </row>
    <row r="2878" spans="2:2" x14ac:dyDescent="0.3">
      <c r="B2878" t="s">
        <v>1061</v>
      </c>
    </row>
    <row r="2879" spans="2:2" x14ac:dyDescent="0.3">
      <c r="B2879" t="s">
        <v>1062</v>
      </c>
    </row>
    <row r="2880" spans="2:2" x14ac:dyDescent="0.3">
      <c r="B2880" t="s">
        <v>1063</v>
      </c>
    </row>
    <row r="2881" spans="2:2" x14ac:dyDescent="0.3">
      <c r="B2881" t="s">
        <v>1064</v>
      </c>
    </row>
    <row r="2884" spans="2:2" x14ac:dyDescent="0.3">
      <c r="B2884" t="s">
        <v>309</v>
      </c>
    </row>
    <row r="2886" spans="2:2" x14ac:dyDescent="0.3">
      <c r="B2886" t="s">
        <v>1072</v>
      </c>
    </row>
    <row r="2887" spans="2:2" x14ac:dyDescent="0.3">
      <c r="B2887" t="s">
        <v>1073</v>
      </c>
    </row>
    <row r="2888" spans="2:2" x14ac:dyDescent="0.3">
      <c r="B2888" t="s">
        <v>1050</v>
      </c>
    </row>
    <row r="2889" spans="2:2" x14ac:dyDescent="0.3">
      <c r="B2889" t="s">
        <v>1074</v>
      </c>
    </row>
    <row r="2890" spans="2:2" x14ac:dyDescent="0.3">
      <c r="B2890" t="s">
        <v>1075</v>
      </c>
    </row>
    <row r="2891" spans="2:2" x14ac:dyDescent="0.3">
      <c r="B2891" t="s">
        <v>1076</v>
      </c>
    </row>
    <row r="2892" spans="2:2" x14ac:dyDescent="0.3">
      <c r="B2892" t="s">
        <v>1077</v>
      </c>
    </row>
    <row r="2893" spans="2:2" x14ac:dyDescent="0.3">
      <c r="B2893" t="s">
        <v>1078</v>
      </c>
    </row>
    <row r="2894" spans="2:2" x14ac:dyDescent="0.3">
      <c r="B2894" t="s">
        <v>1079</v>
      </c>
    </row>
    <row r="2895" spans="2:2" x14ac:dyDescent="0.3">
      <c r="B2895" t="s">
        <v>1080</v>
      </c>
    </row>
    <row r="2896" spans="2:2" x14ac:dyDescent="0.3">
      <c r="B2896" t="s">
        <v>1081</v>
      </c>
    </row>
    <row r="2897" spans="2:2" x14ac:dyDescent="0.3">
      <c r="B2897" t="s">
        <v>1082</v>
      </c>
    </row>
    <row r="2898" spans="2:2" x14ac:dyDescent="0.3">
      <c r="B2898" t="s">
        <v>1083</v>
      </c>
    </row>
    <row r="2899" spans="2:2" x14ac:dyDescent="0.3">
      <c r="B2899" t="s">
        <v>1084</v>
      </c>
    </row>
    <row r="2901" spans="2:2" x14ac:dyDescent="0.3">
      <c r="B2901" t="s">
        <v>1072</v>
      </c>
    </row>
    <row r="2902" spans="2:2" x14ac:dyDescent="0.3">
      <c r="B2902" t="s">
        <v>1085</v>
      </c>
    </row>
    <row r="2903" spans="2:2" x14ac:dyDescent="0.3">
      <c r="B2903" t="s">
        <v>1066</v>
      </c>
    </row>
    <row r="2904" spans="2:2" x14ac:dyDescent="0.3">
      <c r="B2904" t="s">
        <v>1086</v>
      </c>
    </row>
    <row r="2905" spans="2:2" x14ac:dyDescent="0.3">
      <c r="B2905" t="s">
        <v>1075</v>
      </c>
    </row>
    <row r="2906" spans="2:2" x14ac:dyDescent="0.3">
      <c r="B2906" t="s">
        <v>1076</v>
      </c>
    </row>
    <row r="2907" spans="2:2" x14ac:dyDescent="0.3">
      <c r="B2907" t="s">
        <v>1077</v>
      </c>
    </row>
    <row r="2908" spans="2:2" x14ac:dyDescent="0.3">
      <c r="B2908" t="s">
        <v>1078</v>
      </c>
    </row>
    <row r="2909" spans="2:2" x14ac:dyDescent="0.3">
      <c r="B2909" t="s">
        <v>1079</v>
      </c>
    </row>
    <row r="2910" spans="2:2" x14ac:dyDescent="0.3">
      <c r="B2910" t="s">
        <v>1080</v>
      </c>
    </row>
    <row r="2911" spans="2:2" x14ac:dyDescent="0.3">
      <c r="B2911" t="s">
        <v>1081</v>
      </c>
    </row>
    <row r="2912" spans="2:2" x14ac:dyDescent="0.3">
      <c r="B2912" t="s">
        <v>1082</v>
      </c>
    </row>
    <row r="2913" spans="2:2" x14ac:dyDescent="0.3">
      <c r="B2913" t="s">
        <v>1083</v>
      </c>
    </row>
    <row r="2914" spans="2:2" x14ac:dyDescent="0.3">
      <c r="B2914" t="s">
        <v>1084</v>
      </c>
    </row>
    <row r="2916" spans="2:2" x14ac:dyDescent="0.3">
      <c r="B2916" t="s">
        <v>1072</v>
      </c>
    </row>
    <row r="2917" spans="2:2" x14ac:dyDescent="0.3">
      <c r="B2917" t="s">
        <v>1087</v>
      </c>
    </row>
    <row r="2918" spans="2:2" x14ac:dyDescent="0.3">
      <c r="B2918" t="s">
        <v>1071</v>
      </c>
    </row>
    <row r="2919" spans="2:2" x14ac:dyDescent="0.3">
      <c r="B2919" t="s">
        <v>1086</v>
      </c>
    </row>
    <row r="2920" spans="2:2" x14ac:dyDescent="0.3">
      <c r="B2920" t="s">
        <v>1075</v>
      </c>
    </row>
    <row r="2921" spans="2:2" x14ac:dyDescent="0.3">
      <c r="B2921" t="s">
        <v>1076</v>
      </c>
    </row>
    <row r="2922" spans="2:2" x14ac:dyDescent="0.3">
      <c r="B2922" t="s">
        <v>1077</v>
      </c>
    </row>
    <row r="2923" spans="2:2" x14ac:dyDescent="0.3">
      <c r="B2923" t="s">
        <v>1078</v>
      </c>
    </row>
    <row r="2924" spans="2:2" x14ac:dyDescent="0.3">
      <c r="B2924" t="s">
        <v>1079</v>
      </c>
    </row>
    <row r="2925" spans="2:2" x14ac:dyDescent="0.3">
      <c r="B2925" t="s">
        <v>1080</v>
      </c>
    </row>
    <row r="2926" spans="2:2" x14ac:dyDescent="0.3">
      <c r="B2926" t="s">
        <v>1081</v>
      </c>
    </row>
    <row r="2927" spans="2:2" x14ac:dyDescent="0.3">
      <c r="B2927" t="s">
        <v>1082</v>
      </c>
    </row>
    <row r="2928" spans="2:2" x14ac:dyDescent="0.3">
      <c r="B2928" t="s">
        <v>1083</v>
      </c>
    </row>
    <row r="2929" spans="2:2" x14ac:dyDescent="0.3">
      <c r="B2929" t="s">
        <v>1084</v>
      </c>
    </row>
    <row r="2932" spans="2:2" x14ac:dyDescent="0.3">
      <c r="B2932" t="s">
        <v>310</v>
      </c>
    </row>
    <row r="2934" spans="2:2" x14ac:dyDescent="0.3">
      <c r="B2934" t="s">
        <v>1088</v>
      </c>
    </row>
    <row r="2935" spans="2:2" x14ac:dyDescent="0.3">
      <c r="B2935" t="s">
        <v>1089</v>
      </c>
    </row>
    <row r="2936" spans="2:2" x14ac:dyDescent="0.3">
      <c r="B2936" t="s">
        <v>1050</v>
      </c>
    </row>
    <row r="2937" spans="2:2" x14ac:dyDescent="0.3">
      <c r="B2937" t="s">
        <v>1090</v>
      </c>
    </row>
    <row r="2938" spans="2:2" x14ac:dyDescent="0.3">
      <c r="B2938" t="s">
        <v>1091</v>
      </c>
    </row>
    <row r="2939" spans="2:2" x14ac:dyDescent="0.3">
      <c r="B2939" t="s">
        <v>1092</v>
      </c>
    </row>
    <row r="2940" spans="2:2" x14ac:dyDescent="0.3">
      <c r="B2940" t="s">
        <v>1093</v>
      </c>
    </row>
    <row r="2941" spans="2:2" x14ac:dyDescent="0.3">
      <c r="B2941" t="s">
        <v>1078</v>
      </c>
    </row>
    <row r="2942" spans="2:2" x14ac:dyDescent="0.3">
      <c r="B2942" t="s">
        <v>1094</v>
      </c>
    </row>
    <row r="2943" spans="2:2" x14ac:dyDescent="0.3">
      <c r="B2943" t="s">
        <v>1080</v>
      </c>
    </row>
    <row r="2944" spans="2:2" x14ac:dyDescent="0.3">
      <c r="B2944" t="s">
        <v>1095</v>
      </c>
    </row>
    <row r="2945" spans="2:2" x14ac:dyDescent="0.3">
      <c r="B2945" t="s">
        <v>1096</v>
      </c>
    </row>
    <row r="2948" spans="2:2" x14ac:dyDescent="0.3">
      <c r="B2948" t="s">
        <v>311</v>
      </c>
    </row>
    <row r="2950" spans="2:2" x14ac:dyDescent="0.3">
      <c r="B2950" t="s">
        <v>1097</v>
      </c>
    </row>
    <row r="2951" spans="2:2" x14ac:dyDescent="0.3">
      <c r="B2951" t="s">
        <v>1098</v>
      </c>
    </row>
    <row r="2952" spans="2:2" x14ac:dyDescent="0.3">
      <c r="B2952" t="s">
        <v>1050</v>
      </c>
    </row>
    <row r="2953" spans="2:2" x14ac:dyDescent="0.3">
      <c r="B2953" t="s">
        <v>1099</v>
      </c>
    </row>
    <row r="2954" spans="2:2" x14ac:dyDescent="0.3">
      <c r="B2954" t="s">
        <v>1100</v>
      </c>
    </row>
    <row r="2955" spans="2:2" x14ac:dyDescent="0.3">
      <c r="B2955" t="s">
        <v>1101</v>
      </c>
    </row>
    <row r="2956" spans="2:2" x14ac:dyDescent="0.3">
      <c r="B2956" t="s">
        <v>1102</v>
      </c>
    </row>
    <row r="2957" spans="2:2" x14ac:dyDescent="0.3">
      <c r="B2957" t="s">
        <v>1103</v>
      </c>
    </row>
    <row r="2958" spans="2:2" x14ac:dyDescent="0.3">
      <c r="B2958" t="s">
        <v>1104</v>
      </c>
    </row>
    <row r="2959" spans="2:2" x14ac:dyDescent="0.3">
      <c r="B2959" t="s">
        <v>1105</v>
      </c>
    </row>
    <row r="2960" spans="2:2" x14ac:dyDescent="0.3">
      <c r="B2960" t="s">
        <v>1106</v>
      </c>
    </row>
    <row r="2961" spans="2:2" x14ac:dyDescent="0.3">
      <c r="B2961" t="s">
        <v>1107</v>
      </c>
    </row>
    <row r="2962" spans="2:2" x14ac:dyDescent="0.3">
      <c r="B2962" t="s">
        <v>1108</v>
      </c>
    </row>
    <row r="2964" spans="2:2" x14ac:dyDescent="0.3">
      <c r="B2964" t="s">
        <v>1097</v>
      </c>
    </row>
    <row r="2965" spans="2:2" x14ac:dyDescent="0.3">
      <c r="B2965" t="s">
        <v>1109</v>
      </c>
    </row>
    <row r="2966" spans="2:2" x14ac:dyDescent="0.3">
      <c r="B2966" t="s">
        <v>1066</v>
      </c>
    </row>
    <row r="2967" spans="2:2" x14ac:dyDescent="0.3">
      <c r="B2967" t="s">
        <v>1099</v>
      </c>
    </row>
    <row r="2968" spans="2:2" x14ac:dyDescent="0.3">
      <c r="B2968" t="s">
        <v>1100</v>
      </c>
    </row>
    <row r="2969" spans="2:2" x14ac:dyDescent="0.3">
      <c r="B2969" t="s">
        <v>1101</v>
      </c>
    </row>
    <row r="2970" spans="2:2" x14ac:dyDescent="0.3">
      <c r="B2970" t="s">
        <v>1102</v>
      </c>
    </row>
    <row r="2971" spans="2:2" x14ac:dyDescent="0.3">
      <c r="B2971" t="s">
        <v>1103</v>
      </c>
    </row>
    <row r="2972" spans="2:2" x14ac:dyDescent="0.3">
      <c r="B2972" t="s">
        <v>1104</v>
      </c>
    </row>
    <row r="2973" spans="2:2" x14ac:dyDescent="0.3">
      <c r="B2973" t="s">
        <v>1105</v>
      </c>
    </row>
    <row r="2974" spans="2:2" x14ac:dyDescent="0.3">
      <c r="B2974" t="s">
        <v>1106</v>
      </c>
    </row>
    <row r="2975" spans="2:2" x14ac:dyDescent="0.3">
      <c r="B2975" t="s">
        <v>1107</v>
      </c>
    </row>
    <row r="2976" spans="2:2" x14ac:dyDescent="0.3">
      <c r="B2976" t="s">
        <v>1108</v>
      </c>
    </row>
    <row r="2978" spans="2:2" x14ac:dyDescent="0.3">
      <c r="B2978" t="s">
        <v>1097</v>
      </c>
    </row>
    <row r="2979" spans="2:2" x14ac:dyDescent="0.3">
      <c r="B2979" t="s">
        <v>1110</v>
      </c>
    </row>
    <row r="2980" spans="2:2" x14ac:dyDescent="0.3">
      <c r="B2980" t="s">
        <v>1071</v>
      </c>
    </row>
    <row r="2981" spans="2:2" x14ac:dyDescent="0.3">
      <c r="B2981" t="s">
        <v>1099</v>
      </c>
    </row>
    <row r="2982" spans="2:2" x14ac:dyDescent="0.3">
      <c r="B2982" t="s">
        <v>1100</v>
      </c>
    </row>
    <row r="2983" spans="2:2" x14ac:dyDescent="0.3">
      <c r="B2983" t="s">
        <v>1101</v>
      </c>
    </row>
    <row r="2984" spans="2:2" x14ac:dyDescent="0.3">
      <c r="B2984" t="s">
        <v>1102</v>
      </c>
    </row>
    <row r="2985" spans="2:2" x14ac:dyDescent="0.3">
      <c r="B2985" t="s">
        <v>1103</v>
      </c>
    </row>
    <row r="2986" spans="2:2" x14ac:dyDescent="0.3">
      <c r="B2986" t="s">
        <v>1104</v>
      </c>
    </row>
    <row r="2987" spans="2:2" x14ac:dyDescent="0.3">
      <c r="B2987" t="s">
        <v>1105</v>
      </c>
    </row>
    <row r="2988" spans="2:2" x14ac:dyDescent="0.3">
      <c r="B2988" t="s">
        <v>1106</v>
      </c>
    </row>
    <row r="2989" spans="2:2" x14ac:dyDescent="0.3">
      <c r="B2989" t="s">
        <v>1107</v>
      </c>
    </row>
    <row r="2990" spans="2:2" x14ac:dyDescent="0.3">
      <c r="B2990" t="s">
        <v>1108</v>
      </c>
    </row>
    <row r="2992" spans="2:2" x14ac:dyDescent="0.3">
      <c r="B2992" t="s">
        <v>1097</v>
      </c>
    </row>
    <row r="2993" spans="2:2" x14ac:dyDescent="0.3">
      <c r="B2993" t="s">
        <v>1111</v>
      </c>
    </row>
    <row r="2994" spans="2:2" x14ac:dyDescent="0.3">
      <c r="B2994" t="s">
        <v>1112</v>
      </c>
    </row>
    <row r="2995" spans="2:2" x14ac:dyDescent="0.3">
      <c r="B2995" t="s">
        <v>1099</v>
      </c>
    </row>
    <row r="2996" spans="2:2" x14ac:dyDescent="0.3">
      <c r="B2996" t="s">
        <v>1100</v>
      </c>
    </row>
    <row r="2997" spans="2:2" x14ac:dyDescent="0.3">
      <c r="B2997" t="s">
        <v>1101</v>
      </c>
    </row>
    <row r="2998" spans="2:2" x14ac:dyDescent="0.3">
      <c r="B2998" t="s">
        <v>1102</v>
      </c>
    </row>
    <row r="2999" spans="2:2" x14ac:dyDescent="0.3">
      <c r="B2999" t="s">
        <v>1103</v>
      </c>
    </row>
    <row r="3000" spans="2:2" x14ac:dyDescent="0.3">
      <c r="B3000" t="s">
        <v>1104</v>
      </c>
    </row>
    <row r="3001" spans="2:2" x14ac:dyDescent="0.3">
      <c r="B3001" t="s">
        <v>1105</v>
      </c>
    </row>
    <row r="3002" spans="2:2" x14ac:dyDescent="0.3">
      <c r="B3002" t="s">
        <v>1106</v>
      </c>
    </row>
    <row r="3003" spans="2:2" x14ac:dyDescent="0.3">
      <c r="B3003" t="s">
        <v>1107</v>
      </c>
    </row>
    <row r="3004" spans="2:2" x14ac:dyDescent="0.3">
      <c r="B3004" t="s">
        <v>1108</v>
      </c>
    </row>
    <row r="3006" spans="2:2" x14ac:dyDescent="0.3">
      <c r="B3006" t="s">
        <v>1097</v>
      </c>
    </row>
    <row r="3007" spans="2:2" x14ac:dyDescent="0.3">
      <c r="B3007" t="s">
        <v>1113</v>
      </c>
    </row>
    <row r="3008" spans="2:2" x14ac:dyDescent="0.3">
      <c r="B3008" t="s">
        <v>1114</v>
      </c>
    </row>
    <row r="3009" spans="2:2" x14ac:dyDescent="0.3">
      <c r="B3009" t="s">
        <v>1099</v>
      </c>
    </row>
    <row r="3010" spans="2:2" x14ac:dyDescent="0.3">
      <c r="B3010" t="s">
        <v>1100</v>
      </c>
    </row>
    <row r="3011" spans="2:2" x14ac:dyDescent="0.3">
      <c r="B3011" t="s">
        <v>1101</v>
      </c>
    </row>
    <row r="3012" spans="2:2" x14ac:dyDescent="0.3">
      <c r="B3012" t="s">
        <v>1102</v>
      </c>
    </row>
    <row r="3013" spans="2:2" x14ac:dyDescent="0.3">
      <c r="B3013" t="s">
        <v>1103</v>
      </c>
    </row>
    <row r="3014" spans="2:2" x14ac:dyDescent="0.3">
      <c r="B3014" t="s">
        <v>1104</v>
      </c>
    </row>
    <row r="3015" spans="2:2" x14ac:dyDescent="0.3">
      <c r="B3015" t="s">
        <v>1105</v>
      </c>
    </row>
    <row r="3016" spans="2:2" x14ac:dyDescent="0.3">
      <c r="B3016" t="s">
        <v>1106</v>
      </c>
    </row>
    <row r="3017" spans="2:2" x14ac:dyDescent="0.3">
      <c r="B3017" t="s">
        <v>1107</v>
      </c>
    </row>
    <row r="3018" spans="2:2" x14ac:dyDescent="0.3">
      <c r="B3018" t="s">
        <v>1108</v>
      </c>
    </row>
    <row r="3020" spans="2:2" x14ac:dyDescent="0.3">
      <c r="B3020" t="s">
        <v>1097</v>
      </c>
    </row>
    <row r="3021" spans="2:2" x14ac:dyDescent="0.3">
      <c r="B3021" t="s">
        <v>1115</v>
      </c>
    </row>
    <row r="3022" spans="2:2" x14ac:dyDescent="0.3">
      <c r="B3022" t="s">
        <v>1116</v>
      </c>
    </row>
    <row r="3023" spans="2:2" x14ac:dyDescent="0.3">
      <c r="B3023" t="s">
        <v>1099</v>
      </c>
    </row>
    <row r="3024" spans="2:2" x14ac:dyDescent="0.3">
      <c r="B3024" t="s">
        <v>1100</v>
      </c>
    </row>
    <row r="3025" spans="2:2" x14ac:dyDescent="0.3">
      <c r="B3025" t="s">
        <v>1101</v>
      </c>
    </row>
    <row r="3026" spans="2:2" x14ac:dyDescent="0.3">
      <c r="B3026" t="s">
        <v>1102</v>
      </c>
    </row>
    <row r="3027" spans="2:2" x14ac:dyDescent="0.3">
      <c r="B3027" t="s">
        <v>1103</v>
      </c>
    </row>
    <row r="3028" spans="2:2" x14ac:dyDescent="0.3">
      <c r="B3028" t="s">
        <v>1104</v>
      </c>
    </row>
    <row r="3029" spans="2:2" x14ac:dyDescent="0.3">
      <c r="B3029" t="s">
        <v>1105</v>
      </c>
    </row>
    <row r="3030" spans="2:2" x14ac:dyDescent="0.3">
      <c r="B3030" t="s">
        <v>1106</v>
      </c>
    </row>
    <row r="3031" spans="2:2" x14ac:dyDescent="0.3">
      <c r="B3031" t="s">
        <v>1107</v>
      </c>
    </row>
    <row r="3032" spans="2:2" x14ac:dyDescent="0.3">
      <c r="B3032" t="s">
        <v>1108</v>
      </c>
    </row>
    <row r="3034" spans="2:2" x14ac:dyDescent="0.3">
      <c r="B3034" t="s">
        <v>1097</v>
      </c>
    </row>
    <row r="3035" spans="2:2" x14ac:dyDescent="0.3">
      <c r="B3035" t="s">
        <v>1117</v>
      </c>
    </row>
    <row r="3036" spans="2:2" x14ac:dyDescent="0.3">
      <c r="B3036" t="s">
        <v>1118</v>
      </c>
    </row>
    <row r="3037" spans="2:2" x14ac:dyDescent="0.3">
      <c r="B3037" t="s">
        <v>1099</v>
      </c>
    </row>
    <row r="3038" spans="2:2" x14ac:dyDescent="0.3">
      <c r="B3038" t="s">
        <v>1100</v>
      </c>
    </row>
    <row r="3039" spans="2:2" x14ac:dyDescent="0.3">
      <c r="B3039" t="s">
        <v>1101</v>
      </c>
    </row>
    <row r="3040" spans="2:2" x14ac:dyDescent="0.3">
      <c r="B3040" t="s">
        <v>1102</v>
      </c>
    </row>
    <row r="3041" spans="2:2" x14ac:dyDescent="0.3">
      <c r="B3041" t="s">
        <v>1103</v>
      </c>
    </row>
    <row r="3042" spans="2:2" x14ac:dyDescent="0.3">
      <c r="B3042" t="s">
        <v>1104</v>
      </c>
    </row>
    <row r="3043" spans="2:2" x14ac:dyDescent="0.3">
      <c r="B3043" t="s">
        <v>1105</v>
      </c>
    </row>
    <row r="3044" spans="2:2" x14ac:dyDescent="0.3">
      <c r="B3044" t="s">
        <v>1106</v>
      </c>
    </row>
    <row r="3045" spans="2:2" x14ac:dyDescent="0.3">
      <c r="B3045" t="s">
        <v>1107</v>
      </c>
    </row>
    <row r="3046" spans="2:2" x14ac:dyDescent="0.3">
      <c r="B3046" t="s">
        <v>1108</v>
      </c>
    </row>
    <row r="3049" spans="2:2" x14ac:dyDescent="0.3">
      <c r="B3049" t="s">
        <v>312</v>
      </c>
    </row>
    <row r="3051" spans="2:2" x14ac:dyDescent="0.3">
      <c r="B3051" t="s">
        <v>1119</v>
      </c>
    </row>
    <row r="3052" spans="2:2" x14ac:dyDescent="0.3">
      <c r="B3052" t="s">
        <v>1120</v>
      </c>
    </row>
    <row r="3053" spans="2:2" x14ac:dyDescent="0.3">
      <c r="B3053" t="s">
        <v>1121</v>
      </c>
    </row>
    <row r="3054" spans="2:2" x14ac:dyDescent="0.3">
      <c r="B3054" t="s">
        <v>1122</v>
      </c>
    </row>
    <row r="3055" spans="2:2" x14ac:dyDescent="0.3">
      <c r="B3055" t="s">
        <v>1123</v>
      </c>
    </row>
    <row r="3056" spans="2:2" x14ac:dyDescent="0.3">
      <c r="B3056" t="s">
        <v>1124</v>
      </c>
    </row>
    <row r="3057" spans="2:2" x14ac:dyDescent="0.3">
      <c r="B3057" t="s">
        <v>1125</v>
      </c>
    </row>
    <row r="3058" spans="2:2" x14ac:dyDescent="0.3">
      <c r="B3058" t="s">
        <v>1126</v>
      </c>
    </row>
    <row r="3059" spans="2:2" x14ac:dyDescent="0.3">
      <c r="B3059" t="s">
        <v>1127</v>
      </c>
    </row>
    <row r="3060" spans="2:2" x14ac:dyDescent="0.3">
      <c r="B3060" t="s">
        <v>1128</v>
      </c>
    </row>
    <row r="3061" spans="2:2" x14ac:dyDescent="0.3">
      <c r="B3061" t="s">
        <v>1129</v>
      </c>
    </row>
    <row r="3062" spans="2:2" x14ac:dyDescent="0.3">
      <c r="B3062" t="s">
        <v>1130</v>
      </c>
    </row>
    <row r="3063" spans="2:2" x14ac:dyDescent="0.3">
      <c r="B3063" t="s">
        <v>1131</v>
      </c>
    </row>
    <row r="3065" spans="2:2" x14ac:dyDescent="0.3">
      <c r="B3065" t="s">
        <v>1119</v>
      </c>
    </row>
    <row r="3066" spans="2:2" x14ac:dyDescent="0.3">
      <c r="B3066" t="s">
        <v>1132</v>
      </c>
    </row>
    <row r="3067" spans="2:2" x14ac:dyDescent="0.3">
      <c r="B3067" t="s">
        <v>1121</v>
      </c>
    </row>
    <row r="3068" spans="2:2" x14ac:dyDescent="0.3">
      <c r="B3068" t="s">
        <v>1122</v>
      </c>
    </row>
    <row r="3069" spans="2:2" x14ac:dyDescent="0.3">
      <c r="B3069" t="s">
        <v>1123</v>
      </c>
    </row>
    <row r="3070" spans="2:2" x14ac:dyDescent="0.3">
      <c r="B3070" t="s">
        <v>1124</v>
      </c>
    </row>
    <row r="3071" spans="2:2" x14ac:dyDescent="0.3">
      <c r="B3071" t="s">
        <v>1125</v>
      </c>
    </row>
    <row r="3072" spans="2:2" x14ac:dyDescent="0.3">
      <c r="B3072" t="s">
        <v>1126</v>
      </c>
    </row>
    <row r="3073" spans="2:2" x14ac:dyDescent="0.3">
      <c r="B3073" t="s">
        <v>1127</v>
      </c>
    </row>
    <row r="3074" spans="2:2" x14ac:dyDescent="0.3">
      <c r="B3074" t="s">
        <v>1128</v>
      </c>
    </row>
    <row r="3075" spans="2:2" x14ac:dyDescent="0.3">
      <c r="B3075" t="s">
        <v>1129</v>
      </c>
    </row>
    <row r="3076" spans="2:2" x14ac:dyDescent="0.3">
      <c r="B3076" t="s">
        <v>1130</v>
      </c>
    </row>
    <row r="3077" spans="2:2" x14ac:dyDescent="0.3">
      <c r="B3077" t="s">
        <v>1131</v>
      </c>
    </row>
    <row r="3079" spans="2:2" x14ac:dyDescent="0.3">
      <c r="B3079" t="s">
        <v>1119</v>
      </c>
    </row>
    <row r="3080" spans="2:2" x14ac:dyDescent="0.3">
      <c r="B3080" t="s">
        <v>1133</v>
      </c>
    </row>
    <row r="3081" spans="2:2" x14ac:dyDescent="0.3">
      <c r="B3081" t="s">
        <v>1121</v>
      </c>
    </row>
    <row r="3082" spans="2:2" x14ac:dyDescent="0.3">
      <c r="B3082" t="s">
        <v>1122</v>
      </c>
    </row>
    <row r="3083" spans="2:2" x14ac:dyDescent="0.3">
      <c r="B3083" t="s">
        <v>1123</v>
      </c>
    </row>
    <row r="3084" spans="2:2" x14ac:dyDescent="0.3">
      <c r="B3084" t="s">
        <v>1124</v>
      </c>
    </row>
    <row r="3085" spans="2:2" x14ac:dyDescent="0.3">
      <c r="B3085" t="s">
        <v>1125</v>
      </c>
    </row>
    <row r="3086" spans="2:2" x14ac:dyDescent="0.3">
      <c r="B3086" t="s">
        <v>1126</v>
      </c>
    </row>
    <row r="3087" spans="2:2" x14ac:dyDescent="0.3">
      <c r="B3087" t="s">
        <v>1127</v>
      </c>
    </row>
    <row r="3088" spans="2:2" x14ac:dyDescent="0.3">
      <c r="B3088" t="s">
        <v>1128</v>
      </c>
    </row>
    <row r="3089" spans="2:2" x14ac:dyDescent="0.3">
      <c r="B3089" t="s">
        <v>1129</v>
      </c>
    </row>
    <row r="3090" spans="2:2" x14ac:dyDescent="0.3">
      <c r="B3090" t="s">
        <v>1130</v>
      </c>
    </row>
    <row r="3091" spans="2:2" x14ac:dyDescent="0.3">
      <c r="B3091" t="s">
        <v>1131</v>
      </c>
    </row>
    <row r="3093" spans="2:2" x14ac:dyDescent="0.3">
      <c r="B3093" t="s">
        <v>1119</v>
      </c>
    </row>
    <row r="3094" spans="2:2" x14ac:dyDescent="0.3">
      <c r="B3094" t="s">
        <v>1134</v>
      </c>
    </row>
    <row r="3095" spans="2:2" x14ac:dyDescent="0.3">
      <c r="B3095" t="s">
        <v>1121</v>
      </c>
    </row>
    <row r="3096" spans="2:2" x14ac:dyDescent="0.3">
      <c r="B3096" t="s">
        <v>1122</v>
      </c>
    </row>
    <row r="3097" spans="2:2" x14ac:dyDescent="0.3">
      <c r="B3097" t="s">
        <v>1123</v>
      </c>
    </row>
    <row r="3098" spans="2:2" x14ac:dyDescent="0.3">
      <c r="B3098" t="s">
        <v>1124</v>
      </c>
    </row>
    <row r="3099" spans="2:2" x14ac:dyDescent="0.3">
      <c r="B3099" t="s">
        <v>1125</v>
      </c>
    </row>
    <row r="3100" spans="2:2" x14ac:dyDescent="0.3">
      <c r="B3100" t="s">
        <v>1126</v>
      </c>
    </row>
    <row r="3101" spans="2:2" x14ac:dyDescent="0.3">
      <c r="B3101" t="s">
        <v>1127</v>
      </c>
    </row>
    <row r="3102" spans="2:2" x14ac:dyDescent="0.3">
      <c r="B3102" t="s">
        <v>1128</v>
      </c>
    </row>
    <row r="3103" spans="2:2" x14ac:dyDescent="0.3">
      <c r="B3103" t="s">
        <v>1129</v>
      </c>
    </row>
    <row r="3104" spans="2:2" x14ac:dyDescent="0.3">
      <c r="B3104" t="s">
        <v>1130</v>
      </c>
    </row>
    <row r="3105" spans="2:2" x14ac:dyDescent="0.3">
      <c r="B3105" t="s">
        <v>1131</v>
      </c>
    </row>
    <row r="3107" spans="2:2" x14ac:dyDescent="0.3">
      <c r="B3107" t="s">
        <v>1119</v>
      </c>
    </row>
    <row r="3108" spans="2:2" x14ac:dyDescent="0.3">
      <c r="B3108" t="s">
        <v>1135</v>
      </c>
    </row>
    <row r="3109" spans="2:2" x14ac:dyDescent="0.3">
      <c r="B3109" t="s">
        <v>1121</v>
      </c>
    </row>
    <row r="3110" spans="2:2" x14ac:dyDescent="0.3">
      <c r="B3110" t="s">
        <v>1122</v>
      </c>
    </row>
    <row r="3111" spans="2:2" x14ac:dyDescent="0.3">
      <c r="B3111" t="s">
        <v>1123</v>
      </c>
    </row>
    <row r="3112" spans="2:2" x14ac:dyDescent="0.3">
      <c r="B3112" t="s">
        <v>1124</v>
      </c>
    </row>
    <row r="3113" spans="2:2" x14ac:dyDescent="0.3">
      <c r="B3113" t="s">
        <v>1125</v>
      </c>
    </row>
    <row r="3114" spans="2:2" x14ac:dyDescent="0.3">
      <c r="B3114" t="s">
        <v>1126</v>
      </c>
    </row>
    <row r="3115" spans="2:2" x14ac:dyDescent="0.3">
      <c r="B3115" t="s">
        <v>1127</v>
      </c>
    </row>
    <row r="3116" spans="2:2" x14ac:dyDescent="0.3">
      <c r="B3116" t="s">
        <v>1128</v>
      </c>
    </row>
    <row r="3117" spans="2:2" x14ac:dyDescent="0.3">
      <c r="B3117" t="s">
        <v>1129</v>
      </c>
    </row>
    <row r="3118" spans="2:2" x14ac:dyDescent="0.3">
      <c r="B3118" t="s">
        <v>1130</v>
      </c>
    </row>
    <row r="3119" spans="2:2" x14ac:dyDescent="0.3">
      <c r="B3119" t="s">
        <v>1131</v>
      </c>
    </row>
    <row r="3121" spans="2:2" x14ac:dyDescent="0.3">
      <c r="B3121" t="s">
        <v>1119</v>
      </c>
    </row>
    <row r="3122" spans="2:2" x14ac:dyDescent="0.3">
      <c r="B3122" t="s">
        <v>1136</v>
      </c>
    </row>
    <row r="3123" spans="2:2" x14ac:dyDescent="0.3">
      <c r="B3123" t="s">
        <v>1121</v>
      </c>
    </row>
    <row r="3124" spans="2:2" x14ac:dyDescent="0.3">
      <c r="B3124" t="s">
        <v>1122</v>
      </c>
    </row>
    <row r="3125" spans="2:2" x14ac:dyDescent="0.3">
      <c r="B3125" t="s">
        <v>1123</v>
      </c>
    </row>
    <row r="3126" spans="2:2" x14ac:dyDescent="0.3">
      <c r="B3126" t="s">
        <v>1124</v>
      </c>
    </row>
    <row r="3127" spans="2:2" x14ac:dyDescent="0.3">
      <c r="B3127" t="s">
        <v>1125</v>
      </c>
    </row>
    <row r="3128" spans="2:2" x14ac:dyDescent="0.3">
      <c r="B3128" t="s">
        <v>1126</v>
      </c>
    </row>
    <row r="3129" spans="2:2" x14ac:dyDescent="0.3">
      <c r="B3129" t="s">
        <v>1127</v>
      </c>
    </row>
    <row r="3130" spans="2:2" x14ac:dyDescent="0.3">
      <c r="B3130" t="s">
        <v>1128</v>
      </c>
    </row>
    <row r="3131" spans="2:2" x14ac:dyDescent="0.3">
      <c r="B3131" t="s">
        <v>1129</v>
      </c>
    </row>
    <row r="3132" spans="2:2" x14ac:dyDescent="0.3">
      <c r="B3132" t="s">
        <v>1130</v>
      </c>
    </row>
    <row r="3133" spans="2:2" x14ac:dyDescent="0.3">
      <c r="B3133" t="s">
        <v>1131</v>
      </c>
    </row>
    <row r="3135" spans="2:2" x14ac:dyDescent="0.3">
      <c r="B3135" t="s">
        <v>1119</v>
      </c>
    </row>
    <row r="3136" spans="2:2" x14ac:dyDescent="0.3">
      <c r="B3136" t="s">
        <v>1137</v>
      </c>
    </row>
    <row r="3137" spans="2:2" x14ac:dyDescent="0.3">
      <c r="B3137" t="s">
        <v>1138</v>
      </c>
    </row>
    <row r="3138" spans="2:2" x14ac:dyDescent="0.3">
      <c r="B3138" t="s">
        <v>1122</v>
      </c>
    </row>
    <row r="3139" spans="2:2" x14ac:dyDescent="0.3">
      <c r="B3139" t="s">
        <v>1139</v>
      </c>
    </row>
    <row r="3140" spans="2:2" x14ac:dyDescent="0.3">
      <c r="B3140" t="s">
        <v>1124</v>
      </c>
    </row>
    <row r="3141" spans="2:2" x14ac:dyDescent="0.3">
      <c r="B3141" t="s">
        <v>1125</v>
      </c>
    </row>
    <row r="3142" spans="2:2" x14ac:dyDescent="0.3">
      <c r="B3142" t="s">
        <v>1126</v>
      </c>
    </row>
    <row r="3143" spans="2:2" x14ac:dyDescent="0.3">
      <c r="B3143" t="s">
        <v>1127</v>
      </c>
    </row>
    <row r="3144" spans="2:2" x14ac:dyDescent="0.3">
      <c r="B3144" t="s">
        <v>1128</v>
      </c>
    </row>
    <row r="3145" spans="2:2" x14ac:dyDescent="0.3">
      <c r="B3145" t="s">
        <v>1129</v>
      </c>
    </row>
    <row r="3146" spans="2:2" x14ac:dyDescent="0.3">
      <c r="B3146" t="s">
        <v>1130</v>
      </c>
    </row>
    <row r="3147" spans="2:2" x14ac:dyDescent="0.3">
      <c r="B3147" t="s">
        <v>1131</v>
      </c>
    </row>
    <row r="3149" spans="2:2" x14ac:dyDescent="0.3">
      <c r="B3149" t="s">
        <v>1119</v>
      </c>
    </row>
    <row r="3150" spans="2:2" x14ac:dyDescent="0.3">
      <c r="B3150" t="s">
        <v>1140</v>
      </c>
    </row>
    <row r="3151" spans="2:2" x14ac:dyDescent="0.3">
      <c r="B3151" t="s">
        <v>1138</v>
      </c>
    </row>
    <row r="3152" spans="2:2" x14ac:dyDescent="0.3">
      <c r="B3152" t="s">
        <v>1122</v>
      </c>
    </row>
    <row r="3153" spans="2:2" x14ac:dyDescent="0.3">
      <c r="B3153" t="s">
        <v>1139</v>
      </c>
    </row>
    <row r="3154" spans="2:2" x14ac:dyDescent="0.3">
      <c r="B3154" t="s">
        <v>1124</v>
      </c>
    </row>
    <row r="3155" spans="2:2" x14ac:dyDescent="0.3">
      <c r="B3155" t="s">
        <v>1125</v>
      </c>
    </row>
    <row r="3156" spans="2:2" x14ac:dyDescent="0.3">
      <c r="B3156" t="s">
        <v>1126</v>
      </c>
    </row>
    <row r="3157" spans="2:2" x14ac:dyDescent="0.3">
      <c r="B3157" t="s">
        <v>1127</v>
      </c>
    </row>
    <row r="3158" spans="2:2" x14ac:dyDescent="0.3">
      <c r="B3158" t="s">
        <v>1128</v>
      </c>
    </row>
    <row r="3159" spans="2:2" x14ac:dyDescent="0.3">
      <c r="B3159" t="s">
        <v>1129</v>
      </c>
    </row>
    <row r="3160" spans="2:2" x14ac:dyDescent="0.3">
      <c r="B3160" t="s">
        <v>1130</v>
      </c>
    </row>
    <row r="3161" spans="2:2" x14ac:dyDescent="0.3">
      <c r="B3161" t="s">
        <v>1131</v>
      </c>
    </row>
    <row r="3163" spans="2:2" x14ac:dyDescent="0.3">
      <c r="B3163" t="s">
        <v>1119</v>
      </c>
    </row>
    <row r="3164" spans="2:2" x14ac:dyDescent="0.3">
      <c r="B3164" t="s">
        <v>1141</v>
      </c>
    </row>
    <row r="3165" spans="2:2" x14ac:dyDescent="0.3">
      <c r="B3165" t="s">
        <v>1138</v>
      </c>
    </row>
    <row r="3166" spans="2:2" x14ac:dyDescent="0.3">
      <c r="B3166" t="s">
        <v>1122</v>
      </c>
    </row>
    <row r="3167" spans="2:2" x14ac:dyDescent="0.3">
      <c r="B3167" t="s">
        <v>1139</v>
      </c>
    </row>
    <row r="3168" spans="2:2" x14ac:dyDescent="0.3">
      <c r="B3168" t="s">
        <v>1124</v>
      </c>
    </row>
    <row r="3169" spans="2:2" x14ac:dyDescent="0.3">
      <c r="B3169" t="s">
        <v>1125</v>
      </c>
    </row>
    <row r="3170" spans="2:2" x14ac:dyDescent="0.3">
      <c r="B3170" t="s">
        <v>1126</v>
      </c>
    </row>
    <row r="3171" spans="2:2" x14ac:dyDescent="0.3">
      <c r="B3171" t="s">
        <v>1127</v>
      </c>
    </row>
    <row r="3172" spans="2:2" x14ac:dyDescent="0.3">
      <c r="B3172" t="s">
        <v>1128</v>
      </c>
    </row>
    <row r="3173" spans="2:2" x14ac:dyDescent="0.3">
      <c r="B3173" t="s">
        <v>1129</v>
      </c>
    </row>
    <row r="3174" spans="2:2" x14ac:dyDescent="0.3">
      <c r="B3174" t="s">
        <v>1130</v>
      </c>
    </row>
    <row r="3175" spans="2:2" x14ac:dyDescent="0.3">
      <c r="B3175" t="s">
        <v>1131</v>
      </c>
    </row>
    <row r="3177" spans="2:2" x14ac:dyDescent="0.3">
      <c r="B3177" t="s">
        <v>1119</v>
      </c>
    </row>
    <row r="3178" spans="2:2" x14ac:dyDescent="0.3">
      <c r="B3178" t="s">
        <v>1142</v>
      </c>
    </row>
    <row r="3179" spans="2:2" x14ac:dyDescent="0.3">
      <c r="B3179" t="s">
        <v>1138</v>
      </c>
    </row>
    <row r="3180" spans="2:2" x14ac:dyDescent="0.3">
      <c r="B3180" t="s">
        <v>1122</v>
      </c>
    </row>
    <row r="3181" spans="2:2" x14ac:dyDescent="0.3">
      <c r="B3181" t="s">
        <v>1139</v>
      </c>
    </row>
    <row r="3182" spans="2:2" x14ac:dyDescent="0.3">
      <c r="B3182" t="s">
        <v>1124</v>
      </c>
    </row>
    <row r="3183" spans="2:2" x14ac:dyDescent="0.3">
      <c r="B3183" t="s">
        <v>1125</v>
      </c>
    </row>
    <row r="3184" spans="2:2" x14ac:dyDescent="0.3">
      <c r="B3184" t="s">
        <v>1126</v>
      </c>
    </row>
    <row r="3185" spans="2:2" x14ac:dyDescent="0.3">
      <c r="B3185" t="s">
        <v>1127</v>
      </c>
    </row>
    <row r="3186" spans="2:2" x14ac:dyDescent="0.3">
      <c r="B3186" t="s">
        <v>1128</v>
      </c>
    </row>
    <row r="3187" spans="2:2" x14ac:dyDescent="0.3">
      <c r="B3187" t="s">
        <v>1129</v>
      </c>
    </row>
    <row r="3188" spans="2:2" x14ac:dyDescent="0.3">
      <c r="B3188" t="s">
        <v>1130</v>
      </c>
    </row>
    <row r="3189" spans="2:2" x14ac:dyDescent="0.3">
      <c r="B3189" t="s">
        <v>1131</v>
      </c>
    </row>
    <row r="3191" spans="2:2" x14ac:dyDescent="0.3">
      <c r="B3191" t="s">
        <v>1119</v>
      </c>
    </row>
    <row r="3192" spans="2:2" x14ac:dyDescent="0.3">
      <c r="B3192" t="s">
        <v>1143</v>
      </c>
    </row>
    <row r="3193" spans="2:2" x14ac:dyDescent="0.3">
      <c r="B3193" t="s">
        <v>1138</v>
      </c>
    </row>
    <row r="3194" spans="2:2" x14ac:dyDescent="0.3">
      <c r="B3194" t="s">
        <v>1122</v>
      </c>
    </row>
    <row r="3195" spans="2:2" x14ac:dyDescent="0.3">
      <c r="B3195" t="s">
        <v>1139</v>
      </c>
    </row>
    <row r="3196" spans="2:2" x14ac:dyDescent="0.3">
      <c r="B3196" t="s">
        <v>1124</v>
      </c>
    </row>
    <row r="3197" spans="2:2" x14ac:dyDescent="0.3">
      <c r="B3197" t="s">
        <v>1125</v>
      </c>
    </row>
    <row r="3198" spans="2:2" x14ac:dyDescent="0.3">
      <c r="B3198" t="s">
        <v>1126</v>
      </c>
    </row>
    <row r="3199" spans="2:2" x14ac:dyDescent="0.3">
      <c r="B3199" t="s">
        <v>1127</v>
      </c>
    </row>
    <row r="3200" spans="2:2" x14ac:dyDescent="0.3">
      <c r="B3200" t="s">
        <v>1128</v>
      </c>
    </row>
    <row r="3201" spans="2:2" x14ac:dyDescent="0.3">
      <c r="B3201" t="s">
        <v>1129</v>
      </c>
    </row>
    <row r="3202" spans="2:2" x14ac:dyDescent="0.3">
      <c r="B3202" t="s">
        <v>1130</v>
      </c>
    </row>
    <row r="3203" spans="2:2" x14ac:dyDescent="0.3">
      <c r="B3203" t="s">
        <v>1131</v>
      </c>
    </row>
    <row r="3206" spans="2:2" x14ac:dyDescent="0.3">
      <c r="B3206" t="s">
        <v>313</v>
      </c>
    </row>
    <row r="3208" spans="2:2" x14ac:dyDescent="0.3">
      <c r="B3208" t="s">
        <v>1144</v>
      </c>
    </row>
    <row r="3209" spans="2:2" x14ac:dyDescent="0.3">
      <c r="B3209" t="s">
        <v>741</v>
      </c>
    </row>
    <row r="3210" spans="2:2" x14ac:dyDescent="0.3">
      <c r="B3210" t="s">
        <v>1145</v>
      </c>
    </row>
    <row r="3211" spans="2:2" x14ac:dyDescent="0.3">
      <c r="B3211" t="s">
        <v>1146</v>
      </c>
    </row>
    <row r="3212" spans="2:2" x14ac:dyDescent="0.3">
      <c r="B3212" t="s">
        <v>1147</v>
      </c>
    </row>
    <row r="3213" spans="2:2" x14ac:dyDescent="0.3">
      <c r="B3213" t="s">
        <v>1148</v>
      </c>
    </row>
    <row r="3214" spans="2:2" x14ac:dyDescent="0.3">
      <c r="B3214" t="s">
        <v>1149</v>
      </c>
    </row>
    <row r="3215" spans="2:2" x14ac:dyDescent="0.3">
      <c r="B3215" t="s">
        <v>1150</v>
      </c>
    </row>
    <row r="3216" spans="2:2" x14ac:dyDescent="0.3">
      <c r="B3216" t="s">
        <v>1151</v>
      </c>
    </row>
    <row r="3217" spans="2:2" x14ac:dyDescent="0.3">
      <c r="B3217" t="s">
        <v>1152</v>
      </c>
    </row>
    <row r="3218" spans="2:2" x14ac:dyDescent="0.3">
      <c r="B3218" t="s">
        <v>1153</v>
      </c>
    </row>
    <row r="3219" spans="2:2" x14ac:dyDescent="0.3">
      <c r="B3219" t="s">
        <v>1154</v>
      </c>
    </row>
    <row r="3220" spans="2:2" x14ac:dyDescent="0.3">
      <c r="B3220" t="s">
        <v>1155</v>
      </c>
    </row>
    <row r="3221" spans="2:2" x14ac:dyDescent="0.3">
      <c r="B3221" t="s">
        <v>1156</v>
      </c>
    </row>
    <row r="3222" spans="2:2" x14ac:dyDescent="0.3">
      <c r="B3222" t="s">
        <v>1157</v>
      </c>
    </row>
    <row r="3223" spans="2:2" x14ac:dyDescent="0.3">
      <c r="B3223" t="s">
        <v>1158</v>
      </c>
    </row>
    <row r="3224" spans="2:2" x14ac:dyDescent="0.3">
      <c r="B3224" t="s">
        <v>1159</v>
      </c>
    </row>
    <row r="3225" spans="2:2" x14ac:dyDescent="0.3">
      <c r="B3225" t="s">
        <v>1160</v>
      </c>
    </row>
    <row r="3226" spans="2:2" x14ac:dyDescent="0.3">
      <c r="B3226" t="s">
        <v>1161</v>
      </c>
    </row>
    <row r="3227" spans="2:2" x14ac:dyDescent="0.3">
      <c r="B3227" t="s">
        <v>1162</v>
      </c>
    </row>
    <row r="3228" spans="2:2" x14ac:dyDescent="0.3">
      <c r="B3228" t="s">
        <v>1163</v>
      </c>
    </row>
    <row r="3229" spans="2:2" x14ac:dyDescent="0.3">
      <c r="B3229" t="s">
        <v>1164</v>
      </c>
    </row>
    <row r="3231" spans="2:2" x14ac:dyDescent="0.3">
      <c r="B3231" t="s">
        <v>1144</v>
      </c>
    </row>
    <row r="3232" spans="2:2" x14ac:dyDescent="0.3">
      <c r="B3232" t="s">
        <v>743</v>
      </c>
    </row>
    <row r="3233" spans="2:2" x14ac:dyDescent="0.3">
      <c r="B3233" t="s">
        <v>1165</v>
      </c>
    </row>
    <row r="3234" spans="2:2" x14ac:dyDescent="0.3">
      <c r="B3234" t="s">
        <v>1146</v>
      </c>
    </row>
    <row r="3235" spans="2:2" x14ac:dyDescent="0.3">
      <c r="B3235" t="s">
        <v>1147</v>
      </c>
    </row>
    <row r="3236" spans="2:2" x14ac:dyDescent="0.3">
      <c r="B3236" t="s">
        <v>1148</v>
      </c>
    </row>
    <row r="3237" spans="2:2" x14ac:dyDescent="0.3">
      <c r="B3237" t="s">
        <v>1166</v>
      </c>
    </row>
    <row r="3238" spans="2:2" x14ac:dyDescent="0.3">
      <c r="B3238" t="s">
        <v>1150</v>
      </c>
    </row>
    <row r="3239" spans="2:2" x14ac:dyDescent="0.3">
      <c r="B3239" t="s">
        <v>1151</v>
      </c>
    </row>
    <row r="3240" spans="2:2" x14ac:dyDescent="0.3">
      <c r="B3240" t="s">
        <v>1152</v>
      </c>
    </row>
    <row r="3241" spans="2:2" x14ac:dyDescent="0.3">
      <c r="B3241" t="s">
        <v>1153</v>
      </c>
    </row>
    <row r="3242" spans="2:2" x14ac:dyDescent="0.3">
      <c r="B3242" t="s">
        <v>1154</v>
      </c>
    </row>
    <row r="3243" spans="2:2" x14ac:dyDescent="0.3">
      <c r="B3243" t="s">
        <v>1167</v>
      </c>
    </row>
    <row r="3244" spans="2:2" x14ac:dyDescent="0.3">
      <c r="B3244" t="s">
        <v>1156</v>
      </c>
    </row>
    <row r="3245" spans="2:2" x14ac:dyDescent="0.3">
      <c r="B3245" t="s">
        <v>1168</v>
      </c>
    </row>
    <row r="3246" spans="2:2" x14ac:dyDescent="0.3">
      <c r="B3246" t="s">
        <v>1158</v>
      </c>
    </row>
    <row r="3247" spans="2:2" x14ac:dyDescent="0.3">
      <c r="B3247" t="s">
        <v>1169</v>
      </c>
    </row>
    <row r="3250" spans="2:2" x14ac:dyDescent="0.3">
      <c r="B3250" t="s">
        <v>314</v>
      </c>
    </row>
    <row r="3252" spans="2:2" x14ac:dyDescent="0.3">
      <c r="B3252" t="s">
        <v>1170</v>
      </c>
    </row>
    <row r="3253" spans="2:2" x14ac:dyDescent="0.3">
      <c r="B3253" t="s">
        <v>1171</v>
      </c>
    </row>
    <row r="3254" spans="2:2" x14ac:dyDescent="0.3">
      <c r="B3254" t="s">
        <v>1172</v>
      </c>
    </row>
    <row r="3255" spans="2:2" x14ac:dyDescent="0.3">
      <c r="B3255" t="s">
        <v>1173</v>
      </c>
    </row>
    <row r="3256" spans="2:2" x14ac:dyDescent="0.3">
      <c r="B3256" t="s">
        <v>1174</v>
      </c>
    </row>
    <row r="3257" spans="2:2" x14ac:dyDescent="0.3">
      <c r="B3257" t="s">
        <v>1175</v>
      </c>
    </row>
    <row r="3260" spans="2:2" x14ac:dyDescent="0.3">
      <c r="B3260" t="s">
        <v>315</v>
      </c>
    </row>
    <row r="3262" spans="2:2" x14ac:dyDescent="0.3">
      <c r="B3262" t="s">
        <v>1176</v>
      </c>
    </row>
    <row r="3263" spans="2:2" x14ac:dyDescent="0.3">
      <c r="B3263" t="s">
        <v>123</v>
      </c>
    </row>
    <row r="3264" spans="2:2" x14ac:dyDescent="0.3">
      <c r="B3264" t="s">
        <v>1177</v>
      </c>
    </row>
    <row r="3265" spans="2:2" x14ac:dyDescent="0.3">
      <c r="B3265" t="s">
        <v>1178</v>
      </c>
    </row>
    <row r="3266" spans="2:2" x14ac:dyDescent="0.3">
      <c r="B3266" t="s">
        <v>1179</v>
      </c>
    </row>
    <row r="3267" spans="2:2" x14ac:dyDescent="0.3">
      <c r="B3267" t="s">
        <v>1180</v>
      </c>
    </row>
    <row r="3268" spans="2:2" x14ac:dyDescent="0.3">
      <c r="B3268" t="s">
        <v>1181</v>
      </c>
    </row>
    <row r="3269" spans="2:2" x14ac:dyDescent="0.3">
      <c r="B3269" t="s">
        <v>1182</v>
      </c>
    </row>
    <row r="3270" spans="2:2" x14ac:dyDescent="0.3">
      <c r="B3270" t="s">
        <v>1183</v>
      </c>
    </row>
    <row r="3271" spans="2:2" x14ac:dyDescent="0.3">
      <c r="B3271" t="s">
        <v>1184</v>
      </c>
    </row>
    <row r="3272" spans="2:2" x14ac:dyDescent="0.3">
      <c r="B3272" t="s">
        <v>1185</v>
      </c>
    </row>
    <row r="3273" spans="2:2" x14ac:dyDescent="0.3">
      <c r="B3273" t="s">
        <v>1186</v>
      </c>
    </row>
    <row r="3274" spans="2:2" x14ac:dyDescent="0.3">
      <c r="B3274" t="s">
        <v>1187</v>
      </c>
    </row>
    <row r="3275" spans="2:2" x14ac:dyDescent="0.3">
      <c r="B3275" t="s">
        <v>1188</v>
      </c>
    </row>
    <row r="3276" spans="2:2" x14ac:dyDescent="0.3">
      <c r="B3276" t="s">
        <v>1189</v>
      </c>
    </row>
    <row r="3277" spans="2:2" x14ac:dyDescent="0.3">
      <c r="B3277" t="s">
        <v>1190</v>
      </c>
    </row>
    <row r="3278" spans="2:2" x14ac:dyDescent="0.3">
      <c r="B3278" t="s">
        <v>1191</v>
      </c>
    </row>
    <row r="3279" spans="2:2" x14ac:dyDescent="0.3">
      <c r="B3279" t="s">
        <v>1192</v>
      </c>
    </row>
    <row r="3280" spans="2:2" x14ac:dyDescent="0.3">
      <c r="B3280" t="s">
        <v>1193</v>
      </c>
    </row>
    <row r="3281" spans="2:2" x14ac:dyDescent="0.3">
      <c r="B3281" t="s">
        <v>1194</v>
      </c>
    </row>
    <row r="3282" spans="2:2" x14ac:dyDescent="0.3">
      <c r="B3282" t="s">
        <v>1195</v>
      </c>
    </row>
    <row r="3283" spans="2:2" x14ac:dyDescent="0.3">
      <c r="B3283" t="s">
        <v>1196</v>
      </c>
    </row>
    <row r="3284" spans="2:2" x14ac:dyDescent="0.3">
      <c r="B3284" t="s">
        <v>1197</v>
      </c>
    </row>
    <row r="3285" spans="2:2" x14ac:dyDescent="0.3">
      <c r="B3285" t="s">
        <v>1198</v>
      </c>
    </row>
    <row r="3286" spans="2:2" x14ac:dyDescent="0.3">
      <c r="B3286" t="s">
        <v>1199</v>
      </c>
    </row>
    <row r="3287" spans="2:2" x14ac:dyDescent="0.3">
      <c r="B3287" t="s">
        <v>1200</v>
      </c>
    </row>
    <row r="3288" spans="2:2" x14ac:dyDescent="0.3">
      <c r="B3288" t="s">
        <v>1201</v>
      </c>
    </row>
    <row r="3289" spans="2:2" x14ac:dyDescent="0.3">
      <c r="B3289" t="s">
        <v>1202</v>
      </c>
    </row>
    <row r="3290" spans="2:2" x14ac:dyDescent="0.3">
      <c r="B3290" t="s">
        <v>1203</v>
      </c>
    </row>
    <row r="3291" spans="2:2" x14ac:dyDescent="0.3">
      <c r="B3291" t="s">
        <v>1204</v>
      </c>
    </row>
    <row r="3292" spans="2:2" x14ac:dyDescent="0.3">
      <c r="B3292" t="s">
        <v>1205</v>
      </c>
    </row>
    <row r="3294" spans="2:2" x14ac:dyDescent="0.3">
      <c r="B3294" t="s">
        <v>1176</v>
      </c>
    </row>
    <row r="3295" spans="2:2" x14ac:dyDescent="0.3">
      <c r="B3295" t="s">
        <v>150</v>
      </c>
    </row>
    <row r="3296" spans="2:2" x14ac:dyDescent="0.3">
      <c r="B3296" t="s">
        <v>1177</v>
      </c>
    </row>
    <row r="3297" spans="2:2" x14ac:dyDescent="0.3">
      <c r="B3297" t="s">
        <v>1178</v>
      </c>
    </row>
    <row r="3298" spans="2:2" x14ac:dyDescent="0.3">
      <c r="B3298" t="s">
        <v>1179</v>
      </c>
    </row>
    <row r="3299" spans="2:2" x14ac:dyDescent="0.3">
      <c r="B3299" t="s">
        <v>1180</v>
      </c>
    </row>
    <row r="3300" spans="2:2" x14ac:dyDescent="0.3">
      <c r="B3300" t="s">
        <v>1181</v>
      </c>
    </row>
    <row r="3301" spans="2:2" x14ac:dyDescent="0.3">
      <c r="B3301" t="s">
        <v>1182</v>
      </c>
    </row>
    <row r="3302" spans="2:2" x14ac:dyDescent="0.3">
      <c r="B3302" t="s">
        <v>1183</v>
      </c>
    </row>
    <row r="3303" spans="2:2" x14ac:dyDescent="0.3">
      <c r="B3303" t="s">
        <v>1184</v>
      </c>
    </row>
    <row r="3304" spans="2:2" x14ac:dyDescent="0.3">
      <c r="B3304" t="s">
        <v>1185</v>
      </c>
    </row>
    <row r="3305" spans="2:2" x14ac:dyDescent="0.3">
      <c r="B3305" t="s">
        <v>1186</v>
      </c>
    </row>
    <row r="3306" spans="2:2" x14ac:dyDescent="0.3">
      <c r="B3306" t="s">
        <v>1187</v>
      </c>
    </row>
    <row r="3307" spans="2:2" x14ac:dyDescent="0.3">
      <c r="B3307" t="s">
        <v>1188</v>
      </c>
    </row>
    <row r="3308" spans="2:2" x14ac:dyDescent="0.3">
      <c r="B3308" t="s">
        <v>1189</v>
      </c>
    </row>
    <row r="3309" spans="2:2" x14ac:dyDescent="0.3">
      <c r="B3309" t="s">
        <v>1190</v>
      </c>
    </row>
    <row r="3310" spans="2:2" x14ac:dyDescent="0.3">
      <c r="B3310" t="s">
        <v>1191</v>
      </c>
    </row>
    <row r="3311" spans="2:2" x14ac:dyDescent="0.3">
      <c r="B3311" t="s">
        <v>1192</v>
      </c>
    </row>
    <row r="3312" spans="2:2" x14ac:dyDescent="0.3">
      <c r="B3312" t="s">
        <v>1193</v>
      </c>
    </row>
    <row r="3313" spans="2:2" x14ac:dyDescent="0.3">
      <c r="B3313" t="s">
        <v>1194</v>
      </c>
    </row>
    <row r="3314" spans="2:2" x14ac:dyDescent="0.3">
      <c r="B3314" t="s">
        <v>1195</v>
      </c>
    </row>
    <row r="3315" spans="2:2" x14ac:dyDescent="0.3">
      <c r="B3315" t="s">
        <v>1196</v>
      </c>
    </row>
    <row r="3316" spans="2:2" x14ac:dyDescent="0.3">
      <c r="B3316" t="s">
        <v>1197</v>
      </c>
    </row>
    <row r="3317" spans="2:2" x14ac:dyDescent="0.3">
      <c r="B3317" t="s">
        <v>1198</v>
      </c>
    </row>
    <row r="3318" spans="2:2" x14ac:dyDescent="0.3">
      <c r="B3318" t="s">
        <v>1199</v>
      </c>
    </row>
    <row r="3319" spans="2:2" x14ac:dyDescent="0.3">
      <c r="B3319" t="s">
        <v>1200</v>
      </c>
    </row>
    <row r="3320" spans="2:2" x14ac:dyDescent="0.3">
      <c r="B3320" t="s">
        <v>1201</v>
      </c>
    </row>
    <row r="3321" spans="2:2" x14ac:dyDescent="0.3">
      <c r="B3321" t="s">
        <v>1202</v>
      </c>
    </row>
    <row r="3322" spans="2:2" x14ac:dyDescent="0.3">
      <c r="B3322" t="s">
        <v>1203</v>
      </c>
    </row>
    <row r="3323" spans="2:2" x14ac:dyDescent="0.3">
      <c r="B3323" t="s">
        <v>1204</v>
      </c>
    </row>
    <row r="3324" spans="2:2" x14ac:dyDescent="0.3">
      <c r="B3324" t="s">
        <v>1205</v>
      </c>
    </row>
    <row r="3326" spans="2:2" x14ac:dyDescent="0.3">
      <c r="B3326" t="s">
        <v>1176</v>
      </c>
    </row>
    <row r="3327" spans="2:2" x14ac:dyDescent="0.3">
      <c r="B3327" t="s">
        <v>45</v>
      </c>
    </row>
    <row r="3328" spans="2:2" x14ac:dyDescent="0.3">
      <c r="B3328" t="s">
        <v>1177</v>
      </c>
    </row>
    <row r="3329" spans="2:2" x14ac:dyDescent="0.3">
      <c r="B3329" t="s">
        <v>1178</v>
      </c>
    </row>
    <row r="3330" spans="2:2" x14ac:dyDescent="0.3">
      <c r="B3330" t="s">
        <v>1179</v>
      </c>
    </row>
    <row r="3331" spans="2:2" x14ac:dyDescent="0.3">
      <c r="B3331" t="s">
        <v>1180</v>
      </c>
    </row>
    <row r="3332" spans="2:2" x14ac:dyDescent="0.3">
      <c r="B3332" t="s">
        <v>1181</v>
      </c>
    </row>
    <row r="3333" spans="2:2" x14ac:dyDescent="0.3">
      <c r="B3333" t="s">
        <v>1182</v>
      </c>
    </row>
    <row r="3334" spans="2:2" x14ac:dyDescent="0.3">
      <c r="B3334" t="s">
        <v>1183</v>
      </c>
    </row>
    <row r="3335" spans="2:2" x14ac:dyDescent="0.3">
      <c r="B3335" t="s">
        <v>1184</v>
      </c>
    </row>
    <row r="3336" spans="2:2" x14ac:dyDescent="0.3">
      <c r="B3336" t="s">
        <v>1185</v>
      </c>
    </row>
    <row r="3337" spans="2:2" x14ac:dyDescent="0.3">
      <c r="B3337" t="s">
        <v>1186</v>
      </c>
    </row>
    <row r="3338" spans="2:2" x14ac:dyDescent="0.3">
      <c r="B3338" t="s">
        <v>1187</v>
      </c>
    </row>
    <row r="3339" spans="2:2" x14ac:dyDescent="0.3">
      <c r="B3339" t="s">
        <v>1188</v>
      </c>
    </row>
    <row r="3340" spans="2:2" x14ac:dyDescent="0.3">
      <c r="B3340" t="s">
        <v>1189</v>
      </c>
    </row>
    <row r="3341" spans="2:2" x14ac:dyDescent="0.3">
      <c r="B3341" t="s">
        <v>1190</v>
      </c>
    </row>
    <row r="3342" spans="2:2" x14ac:dyDescent="0.3">
      <c r="B3342" t="s">
        <v>1191</v>
      </c>
    </row>
    <row r="3343" spans="2:2" x14ac:dyDescent="0.3">
      <c r="B3343" t="s">
        <v>1192</v>
      </c>
    </row>
    <row r="3344" spans="2:2" x14ac:dyDescent="0.3">
      <c r="B3344" t="s">
        <v>1193</v>
      </c>
    </row>
    <row r="3345" spans="2:2" x14ac:dyDescent="0.3">
      <c r="B3345" t="s">
        <v>1194</v>
      </c>
    </row>
    <row r="3346" spans="2:2" x14ac:dyDescent="0.3">
      <c r="B3346" t="s">
        <v>1195</v>
      </c>
    </row>
    <row r="3347" spans="2:2" x14ac:dyDescent="0.3">
      <c r="B3347" t="s">
        <v>1196</v>
      </c>
    </row>
    <row r="3348" spans="2:2" x14ac:dyDescent="0.3">
      <c r="B3348" t="s">
        <v>1197</v>
      </c>
    </row>
    <row r="3349" spans="2:2" x14ac:dyDescent="0.3">
      <c r="B3349" t="s">
        <v>1198</v>
      </c>
    </row>
    <row r="3350" spans="2:2" x14ac:dyDescent="0.3">
      <c r="B3350" t="s">
        <v>1199</v>
      </c>
    </row>
    <row r="3351" spans="2:2" x14ac:dyDescent="0.3">
      <c r="B3351" t="s">
        <v>1200</v>
      </c>
    </row>
    <row r="3352" spans="2:2" x14ac:dyDescent="0.3">
      <c r="B3352" t="s">
        <v>1201</v>
      </c>
    </row>
    <row r="3353" spans="2:2" x14ac:dyDescent="0.3">
      <c r="B3353" t="s">
        <v>1202</v>
      </c>
    </row>
    <row r="3354" spans="2:2" x14ac:dyDescent="0.3">
      <c r="B3354" t="s">
        <v>1203</v>
      </c>
    </row>
    <row r="3355" spans="2:2" x14ac:dyDescent="0.3">
      <c r="B3355" t="s">
        <v>1204</v>
      </c>
    </row>
    <row r="3356" spans="2:2" x14ac:dyDescent="0.3">
      <c r="B3356" t="s">
        <v>1205</v>
      </c>
    </row>
    <row r="3359" spans="2:2" x14ac:dyDescent="0.3">
      <c r="B3359" t="s">
        <v>316</v>
      </c>
    </row>
    <row r="3361" spans="2:2" x14ac:dyDescent="0.3">
      <c r="B3361" t="s">
        <v>1206</v>
      </c>
    </row>
    <row r="3362" spans="2:2" x14ac:dyDescent="0.3">
      <c r="B3362" t="s">
        <v>1207</v>
      </c>
    </row>
    <row r="3363" spans="2:2" x14ac:dyDescent="0.3">
      <c r="B3363" t="s">
        <v>1208</v>
      </c>
    </row>
    <row r="3366" spans="2:2" x14ac:dyDescent="0.3">
      <c r="B3366" t="s">
        <v>317</v>
      </c>
    </row>
    <row r="3368" spans="2:2" x14ac:dyDescent="0.3">
      <c r="B3368" t="s">
        <v>1209</v>
      </c>
    </row>
    <row r="3369" spans="2:2" x14ac:dyDescent="0.3">
      <c r="B3369" t="s">
        <v>1210</v>
      </c>
    </row>
    <row r="3372" spans="2:2" x14ac:dyDescent="0.3">
      <c r="B3372" t="s">
        <v>318</v>
      </c>
    </row>
    <row r="3374" spans="2:2" x14ac:dyDescent="0.3">
      <c r="B3374" t="s">
        <v>1211</v>
      </c>
    </row>
    <row r="3375" spans="2:2" x14ac:dyDescent="0.3">
      <c r="B3375" t="s">
        <v>1212</v>
      </c>
    </row>
    <row r="3376" spans="2:2" x14ac:dyDescent="0.3">
      <c r="B3376" t="s">
        <v>1213</v>
      </c>
    </row>
    <row r="3379" spans="2:2" x14ac:dyDescent="0.3">
      <c r="B3379" t="s">
        <v>319</v>
      </c>
    </row>
    <row r="3381" spans="2:2" x14ac:dyDescent="0.3">
      <c r="B3381" t="s">
        <v>1214</v>
      </c>
    </row>
    <row r="3382" spans="2:2" x14ac:dyDescent="0.3">
      <c r="B3382" t="s">
        <v>1215</v>
      </c>
    </row>
    <row r="3383" spans="2:2" x14ac:dyDescent="0.3">
      <c r="B3383" t="s">
        <v>1216</v>
      </c>
    </row>
    <row r="3386" spans="2:2" x14ac:dyDescent="0.3">
      <c r="B3386" t="s">
        <v>320</v>
      </c>
    </row>
    <row r="3388" spans="2:2" x14ac:dyDescent="0.3">
      <c r="B3388" t="s">
        <v>1217</v>
      </c>
    </row>
    <row r="3389" spans="2:2" x14ac:dyDescent="0.3">
      <c r="B3389" t="s">
        <v>1218</v>
      </c>
    </row>
    <row r="3392" spans="2:2" x14ac:dyDescent="0.3">
      <c r="B3392" t="s">
        <v>321</v>
      </c>
    </row>
    <row r="3394" spans="2:2" x14ac:dyDescent="0.3">
      <c r="B3394" t="s">
        <v>1219</v>
      </c>
    </row>
    <row r="3395" spans="2:2" x14ac:dyDescent="0.3">
      <c r="B3395" t="s">
        <v>1220</v>
      </c>
    </row>
    <row r="3398" spans="2:2" x14ac:dyDescent="0.3">
      <c r="B3398" t="s">
        <v>322</v>
      </c>
    </row>
    <row r="3400" spans="2:2" x14ac:dyDescent="0.3">
      <c r="B3400" t="s">
        <v>1221</v>
      </c>
    </row>
    <row r="3401" spans="2:2" x14ac:dyDescent="0.3">
      <c r="B3401" t="s">
        <v>1222</v>
      </c>
    </row>
    <row r="3402" spans="2:2" x14ac:dyDescent="0.3">
      <c r="B3402" t="s">
        <v>1223</v>
      </c>
    </row>
    <row r="3403" spans="2:2" x14ac:dyDescent="0.3">
      <c r="B3403" t="s">
        <v>1224</v>
      </c>
    </row>
    <row r="3405" spans="2:2" x14ac:dyDescent="0.3">
      <c r="B3405" t="s">
        <v>1221</v>
      </c>
    </row>
    <row r="3406" spans="2:2" x14ac:dyDescent="0.3">
      <c r="B3406" t="s">
        <v>1222</v>
      </c>
    </row>
    <row r="3407" spans="2:2" x14ac:dyDescent="0.3">
      <c r="B3407" t="s">
        <v>1225</v>
      </c>
    </row>
    <row r="3408" spans="2:2" x14ac:dyDescent="0.3">
      <c r="B3408" t="s">
        <v>1224</v>
      </c>
    </row>
    <row r="3410" spans="2:2" x14ac:dyDescent="0.3">
      <c r="B3410" t="s">
        <v>1221</v>
      </c>
    </row>
    <row r="3411" spans="2:2" x14ac:dyDescent="0.3">
      <c r="B3411" t="s">
        <v>1222</v>
      </c>
    </row>
    <row r="3412" spans="2:2" x14ac:dyDescent="0.3">
      <c r="B3412" t="s">
        <v>1226</v>
      </c>
    </row>
    <row r="3413" spans="2:2" x14ac:dyDescent="0.3">
      <c r="B3413" t="s">
        <v>1224</v>
      </c>
    </row>
    <row r="3415" spans="2:2" x14ac:dyDescent="0.3">
      <c r="B3415" t="s">
        <v>1221</v>
      </c>
    </row>
    <row r="3416" spans="2:2" x14ac:dyDescent="0.3">
      <c r="B3416" t="s">
        <v>1222</v>
      </c>
    </row>
    <row r="3417" spans="2:2" x14ac:dyDescent="0.3">
      <c r="B3417" t="s">
        <v>1227</v>
      </c>
    </row>
    <row r="3418" spans="2:2" x14ac:dyDescent="0.3">
      <c r="B3418" t="s">
        <v>1224</v>
      </c>
    </row>
    <row r="3420" spans="2:2" x14ac:dyDescent="0.3">
      <c r="B3420" t="s">
        <v>1221</v>
      </c>
    </row>
    <row r="3421" spans="2:2" x14ac:dyDescent="0.3">
      <c r="B3421" t="s">
        <v>1222</v>
      </c>
    </row>
    <row r="3422" spans="2:2" x14ac:dyDescent="0.3">
      <c r="B3422" t="s">
        <v>1228</v>
      </c>
    </row>
    <row r="3423" spans="2:2" x14ac:dyDescent="0.3">
      <c r="B3423" t="s">
        <v>1224</v>
      </c>
    </row>
    <row r="3425" spans="2:2" x14ac:dyDescent="0.3">
      <c r="B3425" t="s">
        <v>1221</v>
      </c>
    </row>
    <row r="3426" spans="2:2" x14ac:dyDescent="0.3">
      <c r="B3426" t="s">
        <v>1222</v>
      </c>
    </row>
    <row r="3427" spans="2:2" x14ac:dyDescent="0.3">
      <c r="B3427" t="s">
        <v>1229</v>
      </c>
    </row>
    <row r="3428" spans="2:2" x14ac:dyDescent="0.3">
      <c r="B3428" t="s">
        <v>1224</v>
      </c>
    </row>
    <row r="3430" spans="2:2" x14ac:dyDescent="0.3">
      <c r="B3430" t="s">
        <v>1221</v>
      </c>
    </row>
    <row r="3431" spans="2:2" x14ac:dyDescent="0.3">
      <c r="B3431" t="s">
        <v>1222</v>
      </c>
    </row>
    <row r="3432" spans="2:2" x14ac:dyDescent="0.3">
      <c r="B3432" t="s">
        <v>1230</v>
      </c>
    </row>
    <row r="3433" spans="2:2" x14ac:dyDescent="0.3">
      <c r="B3433" t="s">
        <v>1224</v>
      </c>
    </row>
    <row r="3435" spans="2:2" x14ac:dyDescent="0.3">
      <c r="B3435" t="s">
        <v>1221</v>
      </c>
    </row>
    <row r="3436" spans="2:2" x14ac:dyDescent="0.3">
      <c r="B3436" t="s">
        <v>1222</v>
      </c>
    </row>
    <row r="3437" spans="2:2" x14ac:dyDescent="0.3">
      <c r="B3437" t="s">
        <v>1231</v>
      </c>
    </row>
    <row r="3438" spans="2:2" x14ac:dyDescent="0.3">
      <c r="B3438" t="s">
        <v>1224</v>
      </c>
    </row>
    <row r="3440" spans="2:2" x14ac:dyDescent="0.3">
      <c r="B3440" t="s">
        <v>1221</v>
      </c>
    </row>
    <row r="3441" spans="2:2" x14ac:dyDescent="0.3">
      <c r="B3441" t="s">
        <v>1222</v>
      </c>
    </row>
    <row r="3442" spans="2:2" x14ac:dyDescent="0.3">
      <c r="B3442" t="s">
        <v>1232</v>
      </c>
    </row>
    <row r="3443" spans="2:2" x14ac:dyDescent="0.3">
      <c r="B3443" t="s">
        <v>1224</v>
      </c>
    </row>
    <row r="3446" spans="2:2" x14ac:dyDescent="0.3">
      <c r="B3446" t="s">
        <v>323</v>
      </c>
    </row>
    <row r="3448" spans="2:2" x14ac:dyDescent="0.3">
      <c r="B3448" t="s">
        <v>1233</v>
      </c>
    </row>
    <row r="3449" spans="2:2" x14ac:dyDescent="0.3">
      <c r="B3449" t="s">
        <v>1234</v>
      </c>
    </row>
    <row r="3450" spans="2:2" x14ac:dyDescent="0.3">
      <c r="B3450" t="s">
        <v>1235</v>
      </c>
    </row>
    <row r="3452" spans="2:2" x14ac:dyDescent="0.3">
      <c r="B3452" t="s">
        <v>1233</v>
      </c>
    </row>
    <row r="3453" spans="2:2" x14ac:dyDescent="0.3">
      <c r="B3453" t="s">
        <v>1236</v>
      </c>
    </row>
    <row r="3454" spans="2:2" x14ac:dyDescent="0.3">
      <c r="B3454" t="s">
        <v>1235</v>
      </c>
    </row>
    <row r="3457" spans="2:2" x14ac:dyDescent="0.3">
      <c r="B3457" t="s">
        <v>324</v>
      </c>
    </row>
    <row r="3459" spans="2:2" x14ac:dyDescent="0.3">
      <c r="B3459" t="s">
        <v>1237</v>
      </c>
    </row>
    <row r="3460" spans="2:2" x14ac:dyDescent="0.3">
      <c r="B3460" t="s">
        <v>1238</v>
      </c>
    </row>
    <row r="3461" spans="2:2" x14ac:dyDescent="0.3">
      <c r="B3461" t="s">
        <v>1243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simula</vt:lpstr>
      <vt:lpstr>constructions</vt:lpstr>
      <vt:lpstr>cor telha</vt:lpstr>
      <vt:lpstr>orientacao</vt:lpstr>
      <vt:lpstr>criacao_do_modelo</vt:lpstr>
      <vt:lpstr>modelos simulados</vt:lpstr>
      <vt:lpstr>copia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castro</dc:creator>
  <cp:lastModifiedBy>vinicius de castro</cp:lastModifiedBy>
  <dcterms:created xsi:type="dcterms:W3CDTF">2015-06-05T18:19:34Z</dcterms:created>
  <dcterms:modified xsi:type="dcterms:W3CDTF">2020-01-22T19:24:49Z</dcterms:modified>
</cp:coreProperties>
</file>